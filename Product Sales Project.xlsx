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D7D7CE0F-8A13-4DC8-AA14-07409981D970}" xr6:coauthVersionLast="47" xr6:coauthVersionMax="47" xr10:uidLastSave="{00000000-0000-0000-0000-000000000000}"/>
  <bookViews>
    <workbookView xWindow="-120" yWindow="-120" windowWidth="20730" windowHeight="11160" xr2:uid="{00000000-000D-0000-FFFF-FFFF00000000}"/>
  </bookViews>
  <sheets>
    <sheet name="Dashboard" sheetId="15" r:id="rId1"/>
    <sheet name="Pivot Table" sheetId="14" r:id="rId2"/>
    <sheet name="Clean Sheet" sheetId="13" r:id="rId3"/>
  </sheets>
  <definedNames>
    <definedName name="Slicer_Product_Category1">#N/A</definedName>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1" i="13" l="1"/>
  <c r="N10" i="13"/>
  <c r="J1013" i="13"/>
  <c r="J1012" i="13"/>
  <c r="J1011" i="13"/>
  <c r="J1010" i="13"/>
  <c r="J1009" i="13"/>
  <c r="J1008" i="13"/>
  <c r="J1007" i="13"/>
  <c r="J1006" i="13"/>
  <c r="J1005" i="13"/>
  <c r="J1004" i="13"/>
  <c r="J1003" i="13"/>
  <c r="J1002" i="13"/>
  <c r="J1001" i="13"/>
  <c r="J1000" i="13"/>
  <c r="J999" i="13"/>
  <c r="J998" i="13"/>
  <c r="J997" i="13"/>
  <c r="J996" i="13"/>
  <c r="J995" i="13"/>
  <c r="J994" i="13"/>
  <c r="J993" i="13"/>
  <c r="J992" i="13"/>
  <c r="J991" i="13"/>
  <c r="J990" i="13"/>
  <c r="J989" i="13"/>
  <c r="J988" i="13"/>
  <c r="J987" i="13"/>
  <c r="J986" i="13"/>
  <c r="J985" i="13"/>
  <c r="J984" i="13"/>
  <c r="J983" i="13"/>
  <c r="J982" i="13"/>
  <c r="J981" i="13"/>
  <c r="J980" i="13"/>
  <c r="J979" i="13"/>
  <c r="J978" i="13"/>
  <c r="J977" i="13"/>
  <c r="J976" i="13"/>
  <c r="J975" i="13"/>
  <c r="J974" i="13"/>
  <c r="J973" i="13"/>
  <c r="J972" i="13"/>
  <c r="J971" i="13"/>
  <c r="J970" i="13"/>
  <c r="J969" i="13"/>
  <c r="J968" i="13"/>
  <c r="J967" i="13"/>
  <c r="J966" i="13"/>
  <c r="J965" i="13"/>
  <c r="J964" i="13"/>
  <c r="J963" i="13"/>
  <c r="J962" i="13"/>
  <c r="J961" i="13"/>
  <c r="J960" i="13"/>
  <c r="J959" i="13"/>
  <c r="J958" i="13"/>
  <c r="J957" i="13"/>
  <c r="J956" i="13"/>
  <c r="J955" i="13"/>
  <c r="J954" i="13"/>
  <c r="J953" i="13"/>
  <c r="J952" i="13"/>
  <c r="J951" i="13"/>
  <c r="J950" i="13"/>
  <c r="J949" i="13"/>
  <c r="J948" i="13"/>
  <c r="J947" i="13"/>
  <c r="J946" i="13"/>
  <c r="J945" i="13"/>
  <c r="J944" i="13"/>
  <c r="J943" i="13"/>
  <c r="J942" i="13"/>
  <c r="J941" i="13"/>
  <c r="J940" i="13"/>
  <c r="J939" i="13"/>
  <c r="J938" i="13"/>
  <c r="J937" i="13"/>
  <c r="J936" i="13"/>
  <c r="J935" i="13"/>
  <c r="J934" i="13"/>
  <c r="J933" i="13"/>
  <c r="J932" i="13"/>
  <c r="J931" i="13"/>
  <c r="J930" i="13"/>
  <c r="J929" i="13"/>
  <c r="J928" i="13"/>
  <c r="J927" i="13"/>
  <c r="J926" i="13"/>
  <c r="J925" i="13"/>
  <c r="J924" i="13"/>
  <c r="J923" i="13"/>
  <c r="J922" i="13"/>
  <c r="J921" i="13"/>
  <c r="J920" i="13"/>
  <c r="J919" i="13"/>
  <c r="J918" i="13"/>
  <c r="J917" i="13"/>
  <c r="J916" i="13"/>
  <c r="J915" i="13"/>
  <c r="J914" i="13"/>
  <c r="J913" i="13"/>
  <c r="J912" i="13"/>
  <c r="J911" i="13"/>
  <c r="J910" i="13"/>
  <c r="J909" i="13"/>
  <c r="J908" i="13"/>
  <c r="J907" i="13"/>
  <c r="J906" i="13"/>
  <c r="J905" i="13"/>
  <c r="J904" i="13"/>
  <c r="J903" i="13"/>
  <c r="J902" i="13"/>
  <c r="J901" i="13"/>
  <c r="J900" i="13"/>
  <c r="J899" i="13"/>
  <c r="J898" i="13"/>
  <c r="J897" i="13"/>
  <c r="J896" i="13"/>
  <c r="J895" i="13"/>
  <c r="J894" i="13"/>
  <c r="J893" i="13"/>
  <c r="J892" i="13"/>
  <c r="J891" i="13"/>
  <c r="J890" i="13"/>
  <c r="J889" i="13"/>
  <c r="J888" i="13"/>
  <c r="J887" i="13"/>
  <c r="J886" i="13"/>
  <c r="J885" i="13"/>
  <c r="J884" i="13"/>
  <c r="J883" i="13"/>
  <c r="J882" i="13"/>
  <c r="J881" i="13"/>
  <c r="J880" i="13"/>
  <c r="J879" i="13"/>
  <c r="J878" i="13"/>
  <c r="J877" i="13"/>
  <c r="J876" i="13"/>
  <c r="J875" i="13"/>
  <c r="J874" i="13"/>
  <c r="J873" i="13"/>
  <c r="J872" i="13"/>
  <c r="J871" i="13"/>
  <c r="J870" i="13"/>
  <c r="J869" i="13"/>
  <c r="J868" i="13"/>
  <c r="J867" i="13"/>
  <c r="J866" i="13"/>
  <c r="J865" i="13"/>
  <c r="J864" i="13"/>
  <c r="J863" i="13"/>
  <c r="J862" i="13"/>
  <c r="J861" i="13"/>
  <c r="J860" i="13"/>
  <c r="J859" i="13"/>
  <c r="J858" i="13"/>
  <c r="J857" i="13"/>
  <c r="J856" i="13"/>
  <c r="J855" i="13"/>
  <c r="J854" i="13"/>
  <c r="J853" i="13"/>
  <c r="J852" i="13"/>
  <c r="J851" i="13"/>
  <c r="J850" i="13"/>
  <c r="J849" i="13"/>
  <c r="J848" i="13"/>
  <c r="J847" i="13"/>
  <c r="J846" i="13"/>
  <c r="J845" i="13"/>
  <c r="J844" i="13"/>
  <c r="J843" i="13"/>
  <c r="J842" i="13"/>
  <c r="J841" i="13"/>
  <c r="J840" i="13"/>
  <c r="J839" i="13"/>
  <c r="J838" i="13"/>
  <c r="J837" i="13"/>
  <c r="J836" i="13"/>
  <c r="J835" i="13"/>
  <c r="J834" i="13"/>
  <c r="J833" i="13"/>
  <c r="J832" i="13"/>
  <c r="J831" i="13"/>
  <c r="J830" i="13"/>
  <c r="J829" i="13"/>
  <c r="J828" i="13"/>
  <c r="J827" i="13"/>
  <c r="J826" i="13"/>
  <c r="J825" i="13"/>
  <c r="J824" i="13"/>
  <c r="J823" i="13"/>
  <c r="J822" i="13"/>
  <c r="J821" i="13"/>
  <c r="J820" i="13"/>
  <c r="J819" i="13"/>
  <c r="J818" i="13"/>
  <c r="J817" i="13"/>
  <c r="J816" i="13"/>
  <c r="J815" i="13"/>
  <c r="J814" i="13"/>
  <c r="J813" i="13"/>
  <c r="J812" i="13"/>
  <c r="J811" i="13"/>
  <c r="J810" i="13"/>
  <c r="J809" i="13"/>
  <c r="J808" i="13"/>
  <c r="J807" i="13"/>
  <c r="J806" i="13"/>
  <c r="J805" i="13"/>
  <c r="J804" i="13"/>
  <c r="J803" i="13"/>
  <c r="J802" i="13"/>
  <c r="J801" i="13"/>
  <c r="J800" i="13"/>
  <c r="J799" i="13"/>
  <c r="J798" i="13"/>
  <c r="J797" i="13"/>
  <c r="J796" i="13"/>
  <c r="J795" i="13"/>
  <c r="J794" i="13"/>
  <c r="J793" i="13"/>
  <c r="J792" i="13"/>
  <c r="J791" i="13"/>
  <c r="J790" i="13"/>
  <c r="J789" i="13"/>
  <c r="J788" i="13"/>
  <c r="J787" i="13"/>
  <c r="J786" i="13"/>
  <c r="J785" i="13"/>
  <c r="J784" i="13"/>
  <c r="J783" i="13"/>
  <c r="J782" i="13"/>
  <c r="J781" i="13"/>
  <c r="J780" i="13"/>
  <c r="J779" i="13"/>
  <c r="J778" i="13"/>
  <c r="J777" i="13"/>
  <c r="J776" i="13"/>
  <c r="J775" i="13"/>
  <c r="J774" i="13"/>
  <c r="J773" i="13"/>
  <c r="J772" i="13"/>
  <c r="J771" i="13"/>
  <c r="J770" i="13"/>
  <c r="J769" i="13"/>
  <c r="J768" i="13"/>
  <c r="J767" i="13"/>
  <c r="J766" i="13"/>
  <c r="J765" i="13"/>
  <c r="J764" i="13"/>
  <c r="J763" i="13"/>
  <c r="J762" i="13"/>
  <c r="J761" i="13"/>
  <c r="J760" i="13"/>
  <c r="J759" i="13"/>
  <c r="J758" i="13"/>
  <c r="J757" i="13"/>
  <c r="J756" i="13"/>
  <c r="J755" i="13"/>
  <c r="J754" i="13"/>
  <c r="J753" i="13"/>
  <c r="J752" i="13"/>
  <c r="J751" i="13"/>
  <c r="J750" i="13"/>
  <c r="J749" i="13"/>
  <c r="J748" i="13"/>
  <c r="J747" i="13"/>
  <c r="J746" i="13"/>
  <c r="J745" i="13"/>
  <c r="J744" i="13"/>
  <c r="J743" i="13"/>
  <c r="J742" i="13"/>
  <c r="J741" i="13"/>
  <c r="J740" i="13"/>
  <c r="J739" i="13"/>
  <c r="J738" i="13"/>
  <c r="J737" i="13"/>
  <c r="J736" i="13"/>
  <c r="J735" i="13"/>
  <c r="J734" i="13"/>
  <c r="J733" i="13"/>
  <c r="J732" i="13"/>
  <c r="J731" i="13"/>
  <c r="J730" i="13"/>
  <c r="J729" i="13"/>
  <c r="J728" i="13"/>
  <c r="J727" i="13"/>
  <c r="J726" i="13"/>
  <c r="J725" i="13"/>
  <c r="J724" i="13"/>
  <c r="J723" i="13"/>
  <c r="J722" i="13"/>
  <c r="J721" i="13"/>
  <c r="J720" i="13"/>
  <c r="J719" i="13"/>
  <c r="J718" i="13"/>
  <c r="J717" i="13"/>
  <c r="J716" i="13"/>
  <c r="J715" i="13"/>
  <c r="J714" i="13"/>
  <c r="J713" i="13"/>
  <c r="J712" i="13"/>
  <c r="J711" i="13"/>
  <c r="J710" i="13"/>
  <c r="J709" i="13"/>
  <c r="J708" i="13"/>
  <c r="J707" i="13"/>
  <c r="J706" i="13"/>
  <c r="J705" i="13"/>
  <c r="J704" i="13"/>
  <c r="J703" i="13"/>
  <c r="J702" i="13"/>
  <c r="J701" i="13"/>
  <c r="J700" i="13"/>
  <c r="J699" i="13"/>
  <c r="J698" i="13"/>
  <c r="J697" i="13"/>
  <c r="J696" i="13"/>
  <c r="J695" i="13"/>
  <c r="J694" i="13"/>
  <c r="J693" i="13"/>
  <c r="J692" i="13"/>
  <c r="J691" i="13"/>
  <c r="J690" i="13"/>
  <c r="J689" i="13"/>
  <c r="J688" i="13"/>
  <c r="J687" i="13"/>
  <c r="J686" i="13"/>
  <c r="J685" i="13"/>
  <c r="J684" i="13"/>
  <c r="J683" i="13"/>
  <c r="J682" i="13"/>
  <c r="J681" i="13"/>
  <c r="J680" i="13"/>
  <c r="J679" i="13"/>
  <c r="J678" i="13"/>
  <c r="J677" i="13"/>
  <c r="J676" i="13"/>
  <c r="J675" i="13"/>
  <c r="J674" i="13"/>
  <c r="J673" i="13"/>
  <c r="J672" i="13"/>
  <c r="J671" i="13"/>
  <c r="J670" i="13"/>
  <c r="J669" i="13"/>
  <c r="J668" i="13"/>
  <c r="J667" i="13"/>
  <c r="J666" i="13"/>
  <c r="J665" i="13"/>
  <c r="J664" i="13"/>
  <c r="J663" i="13"/>
  <c r="J662" i="13"/>
  <c r="J661" i="13"/>
  <c r="J660" i="13"/>
  <c r="J659" i="13"/>
  <c r="J658" i="13"/>
  <c r="J657" i="13"/>
  <c r="J656" i="13"/>
  <c r="J655" i="13"/>
  <c r="J654" i="13"/>
  <c r="J653" i="13"/>
  <c r="J652" i="13"/>
  <c r="J651" i="13"/>
  <c r="J650" i="13"/>
  <c r="J649" i="13"/>
  <c r="J648" i="13"/>
  <c r="J647" i="13"/>
  <c r="J646" i="13"/>
  <c r="J645" i="13"/>
  <c r="J644" i="13"/>
  <c r="J643" i="13"/>
  <c r="J642" i="13"/>
  <c r="J641" i="13"/>
  <c r="J640" i="13"/>
  <c r="J639" i="13"/>
  <c r="J638" i="13"/>
  <c r="J637" i="13"/>
  <c r="J636" i="13"/>
  <c r="J635" i="13"/>
  <c r="J634" i="13"/>
  <c r="J633" i="13"/>
  <c r="J632" i="13"/>
  <c r="J631" i="13"/>
  <c r="J630" i="13"/>
  <c r="J629" i="13"/>
  <c r="J628" i="13"/>
  <c r="J627" i="13"/>
  <c r="J626" i="13"/>
  <c r="J625" i="13"/>
  <c r="J624" i="13"/>
  <c r="J623" i="13"/>
  <c r="J622" i="13"/>
  <c r="J621" i="13"/>
  <c r="J620" i="13"/>
  <c r="J619" i="13"/>
  <c r="J618" i="13"/>
  <c r="J617" i="13"/>
  <c r="J616" i="13"/>
  <c r="J615" i="13"/>
  <c r="J614" i="13"/>
  <c r="J613" i="13"/>
  <c r="J612" i="13"/>
  <c r="J611" i="13"/>
  <c r="J610" i="13"/>
  <c r="J609" i="13"/>
  <c r="J608" i="13"/>
  <c r="J607" i="13"/>
  <c r="J606" i="13"/>
  <c r="J605" i="13"/>
  <c r="J604" i="13"/>
  <c r="J603" i="13"/>
  <c r="J602" i="13"/>
  <c r="J601" i="13"/>
  <c r="J600" i="13"/>
  <c r="J599" i="13"/>
  <c r="J598" i="13"/>
  <c r="J597" i="13"/>
  <c r="J596" i="13"/>
  <c r="J595" i="13"/>
  <c r="J594" i="13"/>
  <c r="J593" i="13"/>
  <c r="J592" i="13"/>
  <c r="J591" i="13"/>
  <c r="J590" i="13"/>
  <c r="J589" i="13"/>
  <c r="J588" i="13"/>
  <c r="J587" i="13"/>
  <c r="J586" i="13"/>
  <c r="J585" i="13"/>
  <c r="J584" i="13"/>
  <c r="J583" i="13"/>
  <c r="J582" i="13"/>
  <c r="J581" i="13"/>
  <c r="J580" i="13"/>
  <c r="J579" i="13"/>
  <c r="J578" i="13"/>
  <c r="J577" i="13"/>
  <c r="J576" i="13"/>
  <c r="J575" i="13"/>
  <c r="J574" i="13"/>
  <c r="J573" i="13"/>
  <c r="J572" i="13"/>
  <c r="J571" i="13"/>
  <c r="J570" i="13"/>
  <c r="J569" i="13"/>
  <c r="J568" i="13"/>
  <c r="J567" i="13"/>
  <c r="J566" i="13"/>
  <c r="J565" i="13"/>
  <c r="J564" i="13"/>
  <c r="J563" i="13"/>
  <c r="J562" i="13"/>
  <c r="J561" i="13"/>
  <c r="J560" i="13"/>
  <c r="J559" i="13"/>
  <c r="J558" i="13"/>
  <c r="J557" i="13"/>
  <c r="J556" i="13"/>
  <c r="J555" i="13"/>
  <c r="J554" i="13"/>
  <c r="J553" i="13"/>
  <c r="J552" i="13"/>
  <c r="J551" i="13"/>
  <c r="J550" i="13"/>
  <c r="J549" i="13"/>
  <c r="J548" i="13"/>
  <c r="J547" i="13"/>
  <c r="J546" i="13"/>
  <c r="J545" i="13"/>
  <c r="J544" i="13"/>
  <c r="J543" i="13"/>
  <c r="J542" i="13"/>
  <c r="J541" i="13"/>
  <c r="J540" i="13"/>
  <c r="J539" i="13"/>
  <c r="J538" i="13"/>
  <c r="J537" i="13"/>
  <c r="J536" i="13"/>
  <c r="J535" i="13"/>
  <c r="J534" i="13"/>
  <c r="J533" i="13"/>
  <c r="J532" i="13"/>
  <c r="J531" i="13"/>
  <c r="J530" i="13"/>
  <c r="J529" i="13"/>
  <c r="J528" i="13"/>
  <c r="J527" i="13"/>
  <c r="J526" i="13"/>
  <c r="J525" i="13"/>
  <c r="J524" i="13"/>
  <c r="J523" i="13"/>
  <c r="J522" i="13"/>
  <c r="J521" i="13"/>
  <c r="J520" i="13"/>
  <c r="J519" i="13"/>
  <c r="J518" i="13"/>
  <c r="J517" i="13"/>
  <c r="J516" i="13"/>
  <c r="J515" i="13"/>
  <c r="J514" i="13"/>
  <c r="J513" i="13"/>
  <c r="J512" i="13"/>
  <c r="J511" i="13"/>
  <c r="J510" i="13"/>
  <c r="J509" i="13"/>
  <c r="J508" i="13"/>
  <c r="J507" i="13"/>
  <c r="J506" i="13"/>
  <c r="J505" i="13"/>
  <c r="J504" i="13"/>
  <c r="J503" i="13"/>
  <c r="J502" i="13"/>
  <c r="J501" i="13"/>
  <c r="J500" i="13"/>
  <c r="J499" i="13"/>
  <c r="J498" i="13"/>
  <c r="J497" i="13"/>
  <c r="J496" i="13"/>
  <c r="J495" i="13"/>
  <c r="J494" i="13"/>
  <c r="J493" i="13"/>
  <c r="J492" i="13"/>
  <c r="J491" i="13"/>
  <c r="J490" i="13"/>
  <c r="J489" i="13"/>
  <c r="J488" i="13"/>
  <c r="J487" i="13"/>
  <c r="J486" i="13"/>
  <c r="J485" i="13"/>
  <c r="J484" i="13"/>
  <c r="J483" i="13"/>
  <c r="J482" i="13"/>
  <c r="J481" i="13"/>
  <c r="J480" i="13"/>
  <c r="J479" i="13"/>
  <c r="J478" i="13"/>
  <c r="J477" i="13"/>
  <c r="J476" i="13"/>
  <c r="J475" i="13"/>
  <c r="J474" i="13"/>
  <c r="J473" i="13"/>
  <c r="J472" i="13"/>
  <c r="J471" i="13"/>
  <c r="J470" i="13"/>
  <c r="J469" i="13"/>
  <c r="J468" i="13"/>
  <c r="J467" i="13"/>
  <c r="J466" i="13"/>
  <c r="J465" i="13"/>
  <c r="J464" i="13"/>
  <c r="J463" i="13"/>
  <c r="J462" i="13"/>
  <c r="J461" i="13"/>
  <c r="J460" i="13"/>
  <c r="J459" i="13"/>
  <c r="J458" i="13"/>
  <c r="J457" i="13"/>
  <c r="J456" i="13"/>
  <c r="J455" i="13"/>
  <c r="J454" i="13"/>
  <c r="J453" i="13"/>
  <c r="J452" i="13"/>
  <c r="J451" i="13"/>
  <c r="J450" i="13"/>
  <c r="J449" i="13"/>
  <c r="J448" i="13"/>
  <c r="J447" i="13"/>
  <c r="J446" i="13"/>
  <c r="J445" i="13"/>
  <c r="J444" i="13"/>
  <c r="J443" i="13"/>
  <c r="J442" i="13"/>
  <c r="J441" i="13"/>
  <c r="J440" i="13"/>
  <c r="J439" i="13"/>
  <c r="J438" i="13"/>
  <c r="J437" i="13"/>
  <c r="J436" i="13"/>
  <c r="J435" i="13"/>
  <c r="J434" i="13"/>
  <c r="J433" i="13"/>
  <c r="J432" i="13"/>
  <c r="J431" i="13"/>
  <c r="J430" i="13"/>
  <c r="J429" i="13"/>
  <c r="J428" i="13"/>
  <c r="J427" i="13"/>
  <c r="J426" i="13"/>
  <c r="J425" i="13"/>
  <c r="J424" i="13"/>
  <c r="J423" i="13"/>
  <c r="J422" i="13"/>
  <c r="J421" i="13"/>
  <c r="J420" i="13"/>
  <c r="J419" i="13"/>
  <c r="J418" i="13"/>
  <c r="J417" i="13"/>
  <c r="J416" i="13"/>
  <c r="J415" i="13"/>
  <c r="J414" i="13"/>
  <c r="J413" i="13"/>
  <c r="J412" i="13"/>
  <c r="J411" i="13"/>
  <c r="J410" i="13"/>
  <c r="J409" i="13"/>
  <c r="J408" i="13"/>
  <c r="J407" i="13"/>
  <c r="J406" i="13"/>
  <c r="J405" i="13"/>
  <c r="J404" i="13"/>
  <c r="J403" i="13"/>
  <c r="J402" i="13"/>
  <c r="J401" i="13"/>
  <c r="J400" i="13"/>
  <c r="J399" i="13"/>
  <c r="J398" i="13"/>
  <c r="J397" i="13"/>
  <c r="J396" i="13"/>
  <c r="J395" i="13"/>
  <c r="J394" i="13"/>
  <c r="J393" i="13"/>
  <c r="J392" i="13"/>
  <c r="J391" i="13"/>
  <c r="J390" i="13"/>
  <c r="J389" i="13"/>
  <c r="J388" i="13"/>
  <c r="J387" i="13"/>
  <c r="J386" i="13"/>
  <c r="J385" i="13"/>
  <c r="J384" i="13"/>
  <c r="J383" i="13"/>
  <c r="J382" i="13"/>
  <c r="J381" i="13"/>
  <c r="J380" i="13"/>
  <c r="J379" i="13"/>
  <c r="J378" i="13"/>
  <c r="J377" i="13"/>
  <c r="J376" i="13"/>
  <c r="J375" i="13"/>
  <c r="J374" i="13"/>
  <c r="J373" i="13"/>
  <c r="J372" i="13"/>
  <c r="J371" i="13"/>
  <c r="J370" i="13"/>
  <c r="J369" i="13"/>
  <c r="J368" i="13"/>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J5" i="13"/>
  <c r="J4" i="13"/>
  <c r="J3" i="13"/>
  <c r="J2" i="13"/>
  <c r="N9" i="13" s="1"/>
</calcChain>
</file>

<file path=xl/sharedStrings.xml><?xml version="1.0" encoding="utf-8"?>
<sst xmlns="http://schemas.openxmlformats.org/spreadsheetml/2006/main" count="8179" uniqueCount="1397">
  <si>
    <t>Date</t>
  </si>
  <si>
    <t>Invoice_ID</t>
  </si>
  <si>
    <t>Customer_Name</t>
  </si>
  <si>
    <t>Gender</t>
  </si>
  <si>
    <t>Age_Group</t>
  </si>
  <si>
    <t>Product_Category</t>
  </si>
  <si>
    <t>Product_Name</t>
  </si>
  <si>
    <t>Units_Sold</t>
  </si>
  <si>
    <t>Unit_Price</t>
  </si>
  <si>
    <t>Total_Sales</t>
  </si>
  <si>
    <t>Region</t>
  </si>
  <si>
    <t>Payment_Mode</t>
  </si>
  <si>
    <t>INV2824</t>
  </si>
  <si>
    <t>INV1409</t>
  </si>
  <si>
    <t>INV5506</t>
  </si>
  <si>
    <t>INV5012</t>
  </si>
  <si>
    <t>INV4657</t>
  </si>
  <si>
    <t>INV3286</t>
  </si>
  <si>
    <t>INV2679</t>
  </si>
  <si>
    <t>INV9935</t>
  </si>
  <si>
    <t>INV2424</t>
  </si>
  <si>
    <t>INV7912</t>
  </si>
  <si>
    <t>INV1520</t>
  </si>
  <si>
    <t>INV1488</t>
  </si>
  <si>
    <t>INV2535</t>
  </si>
  <si>
    <t>INV4582</t>
  </si>
  <si>
    <t>INV4811</t>
  </si>
  <si>
    <t>INV9279</t>
  </si>
  <si>
    <t>INV1434</t>
  </si>
  <si>
    <t>INV4257</t>
  </si>
  <si>
    <t>INV9928</t>
  </si>
  <si>
    <t>INV7873</t>
  </si>
  <si>
    <t>INV4611</t>
  </si>
  <si>
    <t>INV8359</t>
  </si>
  <si>
    <t>INV5557</t>
  </si>
  <si>
    <t>INV1106</t>
  </si>
  <si>
    <t>INV3615</t>
  </si>
  <si>
    <t>INV7924</t>
  </si>
  <si>
    <t>INV6574</t>
  </si>
  <si>
    <t>INV5552</t>
  </si>
  <si>
    <t>INV3547</t>
  </si>
  <si>
    <t>INV4527</t>
  </si>
  <si>
    <t>INV6514</t>
  </si>
  <si>
    <t>INV2674</t>
  </si>
  <si>
    <t>INV2519</t>
  </si>
  <si>
    <t>INV7224</t>
  </si>
  <si>
    <t>INV2584</t>
  </si>
  <si>
    <t>INV6881</t>
  </si>
  <si>
    <t>INV6635</t>
  </si>
  <si>
    <t>INV5333</t>
  </si>
  <si>
    <t>INV1711</t>
  </si>
  <si>
    <t>INV8527</t>
  </si>
  <si>
    <t>INV9785</t>
  </si>
  <si>
    <t>INV3045</t>
  </si>
  <si>
    <t>INV7201</t>
  </si>
  <si>
    <t>INV2291</t>
  </si>
  <si>
    <t>INV6925</t>
  </si>
  <si>
    <t>INV4150</t>
  </si>
  <si>
    <t>INV2139</t>
  </si>
  <si>
    <t>INV1750</t>
  </si>
  <si>
    <t>INV4733</t>
  </si>
  <si>
    <t>INV5741</t>
  </si>
  <si>
    <t>INV2307</t>
  </si>
  <si>
    <t>INV4814</t>
  </si>
  <si>
    <t>INV2654</t>
  </si>
  <si>
    <t>INV7227</t>
  </si>
  <si>
    <t>INV5554</t>
  </si>
  <si>
    <t>INV6977</t>
  </si>
  <si>
    <t>INV3664</t>
  </si>
  <si>
    <t>INV7065</t>
  </si>
  <si>
    <t>INV6820</t>
  </si>
  <si>
    <t>INV4432</t>
  </si>
  <si>
    <t>INV5374</t>
  </si>
  <si>
    <t>INV2169</t>
  </si>
  <si>
    <t>INV3803</t>
  </si>
  <si>
    <t>INV9751</t>
  </si>
  <si>
    <t>INV5010</t>
  </si>
  <si>
    <t>INV3677</t>
  </si>
  <si>
    <t>INV8573</t>
  </si>
  <si>
    <t>INV7216</t>
  </si>
  <si>
    <t>INV5422</t>
  </si>
  <si>
    <t>INV4598</t>
  </si>
  <si>
    <t>INV6313</t>
  </si>
  <si>
    <t>INV1916</t>
  </si>
  <si>
    <t>INV4752</t>
  </si>
  <si>
    <t>INV1525</t>
  </si>
  <si>
    <t>INV6168</t>
  </si>
  <si>
    <t>INV7572</t>
  </si>
  <si>
    <t>INV5386</t>
  </si>
  <si>
    <t>INV2084</t>
  </si>
  <si>
    <t>INV4456</t>
  </si>
  <si>
    <t>INV6155</t>
  </si>
  <si>
    <t>INV4483</t>
  </si>
  <si>
    <t>INV9179</t>
  </si>
  <si>
    <t>INV7482</t>
  </si>
  <si>
    <t>INV8517</t>
  </si>
  <si>
    <t>INV3340</t>
  </si>
  <si>
    <t>INV5339</t>
  </si>
  <si>
    <t>INV5040</t>
  </si>
  <si>
    <t>INV9830</t>
  </si>
  <si>
    <t>INV5304</t>
  </si>
  <si>
    <t>INV8019</t>
  </si>
  <si>
    <t>INV7543</t>
  </si>
  <si>
    <t>INV6930</t>
  </si>
  <si>
    <t>INV4593</t>
  </si>
  <si>
    <t>INV3266</t>
  </si>
  <si>
    <t>INV9348</t>
  </si>
  <si>
    <t>INV9085</t>
  </si>
  <si>
    <t>INV2489</t>
  </si>
  <si>
    <t>INV1771</t>
  </si>
  <si>
    <t>INV3504</t>
  </si>
  <si>
    <t>INV3621</t>
  </si>
  <si>
    <t>INV7916</t>
  </si>
  <si>
    <t>INV2040</t>
  </si>
  <si>
    <t>INV7304</t>
  </si>
  <si>
    <t>INV7252</t>
  </si>
  <si>
    <t>INV8668</t>
  </si>
  <si>
    <t>INV5119</t>
  </si>
  <si>
    <t>INV1188</t>
  </si>
  <si>
    <t>INV2876</t>
  </si>
  <si>
    <t>INV5371</t>
  </si>
  <si>
    <t>INV6573</t>
  </si>
  <si>
    <t>INV2827</t>
  </si>
  <si>
    <t>INV5808</t>
  </si>
  <si>
    <t>INV8123</t>
  </si>
  <si>
    <t>INV3591</t>
  </si>
  <si>
    <t>INV8433</t>
  </si>
  <si>
    <t>INV1053</t>
  </si>
  <si>
    <t>INV5315</t>
  </si>
  <si>
    <t>INV9201</t>
  </si>
  <si>
    <t>INV3927</t>
  </si>
  <si>
    <t>INV9317</t>
  </si>
  <si>
    <t>INV2743</t>
  </si>
  <si>
    <t>INV5889</t>
  </si>
  <si>
    <t>INV4258</t>
  </si>
  <si>
    <t>INV7126</t>
  </si>
  <si>
    <t>INV3646</t>
  </si>
  <si>
    <t>INV9837</t>
  </si>
  <si>
    <t>INV9689</t>
  </si>
  <si>
    <t>INV1009</t>
  </si>
  <si>
    <t>INV6310</t>
  </si>
  <si>
    <t>INV9005</t>
  </si>
  <si>
    <t>INV1319</t>
  </si>
  <si>
    <t>INV2832</t>
  </si>
  <si>
    <t>INV6947</t>
  </si>
  <si>
    <t>INV6038</t>
  </si>
  <si>
    <t>INV4923</t>
  </si>
  <si>
    <t>INV1949</t>
  </si>
  <si>
    <t>INV4946</t>
  </si>
  <si>
    <t>INV2290</t>
  </si>
  <si>
    <t>INV2403</t>
  </si>
  <si>
    <t>INV8962</t>
  </si>
  <si>
    <t>INV2133</t>
  </si>
  <si>
    <t>INV9727</t>
  </si>
  <si>
    <t>INV3060</t>
  </si>
  <si>
    <t>INV3103</t>
  </si>
  <si>
    <t>INV8787</t>
  </si>
  <si>
    <t>INV3705</t>
  </si>
  <si>
    <t>INV5342</t>
  </si>
  <si>
    <t>INV9645</t>
  </si>
  <si>
    <t>INV7932</t>
  </si>
  <si>
    <t>INV4470</t>
  </si>
  <si>
    <t>INV4295</t>
  </si>
  <si>
    <t>INV6107</t>
  </si>
  <si>
    <t>INV7537</t>
  </si>
  <si>
    <t>INV7118</t>
  </si>
  <si>
    <t>INV8177</t>
  </si>
  <si>
    <t>INV9479</t>
  </si>
  <si>
    <t>INV8397</t>
  </si>
  <si>
    <t>INV2982</t>
  </si>
  <si>
    <t>INV5061</t>
  </si>
  <si>
    <t>INV4681</t>
  </si>
  <si>
    <t>INV2049</t>
  </si>
  <si>
    <t>INV6539</t>
  </si>
  <si>
    <t>INV1344</t>
  </si>
  <si>
    <t>INV4770</t>
  </si>
  <si>
    <t>INV4608</t>
  </si>
  <si>
    <t>INV1117</t>
  </si>
  <si>
    <t>INV2163</t>
  </si>
  <si>
    <t>INV1964</t>
  </si>
  <si>
    <t>INV4750</t>
  </si>
  <si>
    <t>INV2104</t>
  </si>
  <si>
    <t>INV1514</t>
  </si>
  <si>
    <t>INV6413</t>
  </si>
  <si>
    <t>INV2160</t>
  </si>
  <si>
    <t>INV9423</t>
  </si>
  <si>
    <t>INV4899</t>
  </si>
  <si>
    <t>INV5562</t>
  </si>
  <si>
    <t>INV8953</t>
  </si>
  <si>
    <t>INV4510</t>
  </si>
  <si>
    <t>INV9834</t>
  </si>
  <si>
    <t>INV3167</t>
  </si>
  <si>
    <t>INV8744</t>
  </si>
  <si>
    <t>INV4981</t>
  </si>
  <si>
    <t>INV8749</t>
  </si>
  <si>
    <t>INV7669</t>
  </si>
  <si>
    <t>INV4119</t>
  </si>
  <si>
    <t>INV2545</t>
  </si>
  <si>
    <t>INV2588</t>
  </si>
  <si>
    <t>INV8062</t>
  </si>
  <si>
    <t>INV6804</t>
  </si>
  <si>
    <t>INV7939</t>
  </si>
  <si>
    <t>INV7735</t>
  </si>
  <si>
    <t>INV8651</t>
  </si>
  <si>
    <t>INV1887</t>
  </si>
  <si>
    <t>INV2612</t>
  </si>
  <si>
    <t>INV1993</t>
  </si>
  <si>
    <t>INV7596</t>
  </si>
  <si>
    <t>INV6559</t>
  </si>
  <si>
    <t>INV2790</t>
  </si>
  <si>
    <t>INV5073</t>
  </si>
  <si>
    <t>INV4139</t>
  </si>
  <si>
    <t>INV4116</t>
  </si>
  <si>
    <t>INV9786</t>
  </si>
  <si>
    <t>INV8350</t>
  </si>
  <si>
    <t>INV3296</t>
  </si>
  <si>
    <t>INV4006</t>
  </si>
  <si>
    <t>INV5563</t>
  </si>
  <si>
    <t>INV8579</t>
  </si>
  <si>
    <t>INV5092</t>
  </si>
  <si>
    <t>INV2235</t>
  </si>
  <si>
    <t>INV8260</t>
  </si>
  <si>
    <t>INV2604</t>
  </si>
  <si>
    <t>INV1828</t>
  </si>
  <si>
    <t>INV9856</t>
  </si>
  <si>
    <t>INV1241</t>
  </si>
  <si>
    <t>INV2528</t>
  </si>
  <si>
    <t>INV4872</t>
  </si>
  <si>
    <t>INV3724</t>
  </si>
  <si>
    <t>INV7658</t>
  </si>
  <si>
    <t>INV8956</t>
  </si>
  <si>
    <t>INV8886</t>
  </si>
  <si>
    <t>INV4502</t>
  </si>
  <si>
    <t>INV7570</t>
  </si>
  <si>
    <t>INV1960</t>
  </si>
  <si>
    <t>INV3697</t>
  </si>
  <si>
    <t>INV7209</t>
  </si>
  <si>
    <t>INV1035</t>
  </si>
  <si>
    <t>INV7396</t>
  </si>
  <si>
    <t>INV5345</t>
  </si>
  <si>
    <t>INV8454</t>
  </si>
  <si>
    <t>INV5673</t>
  </si>
  <si>
    <t>INV7930</t>
  </si>
  <si>
    <t>INV8973</t>
  </si>
  <si>
    <t>INV3536</t>
  </si>
  <si>
    <t>INV5861</t>
  </si>
  <si>
    <t>INV4566</t>
  </si>
  <si>
    <t>INV1958</t>
  </si>
  <si>
    <t>INV9883</t>
  </si>
  <si>
    <t>INV1998</t>
  </si>
  <si>
    <t>INV6138</t>
  </si>
  <si>
    <t>INV1936</t>
  </si>
  <si>
    <t>INV1821</t>
  </si>
  <si>
    <t>INV8811</t>
  </si>
  <si>
    <t>INV9238</t>
  </si>
  <si>
    <t>INV9701</t>
  </si>
  <si>
    <t>INV3579</t>
  </si>
  <si>
    <t>INV1931</t>
  </si>
  <si>
    <t>INV9320</t>
  </si>
  <si>
    <t>INV2312</t>
  </si>
  <si>
    <t>INV4044</t>
  </si>
  <si>
    <t>INV2122</t>
  </si>
  <si>
    <t>INV2113</t>
  </si>
  <si>
    <t>INV4853</t>
  </si>
  <si>
    <t>INV7615</t>
  </si>
  <si>
    <t>INV2964</t>
  </si>
  <si>
    <t>INV1651</t>
  </si>
  <si>
    <t>INV2343</t>
  </si>
  <si>
    <t>INV7868</t>
  </si>
  <si>
    <t>INV9565</t>
  </si>
  <si>
    <t>INV6183</t>
  </si>
  <si>
    <t>INV5272</t>
  </si>
  <si>
    <t>INV4346</t>
  </si>
  <si>
    <t>INV6147</t>
  </si>
  <si>
    <t>INV4910</t>
  </si>
  <si>
    <t>INV5351</t>
  </si>
  <si>
    <t>INV7484</t>
  </si>
  <si>
    <t>INV3144</t>
  </si>
  <si>
    <t>INV5915</t>
  </si>
  <si>
    <t>INV8491</t>
  </si>
  <si>
    <t>INV6180</t>
  </si>
  <si>
    <t>INV2188</t>
  </si>
  <si>
    <t>INV1152</t>
  </si>
  <si>
    <t>INV8508</t>
  </si>
  <si>
    <t>INV2638</t>
  </si>
  <si>
    <t>INV2200</t>
  </si>
  <si>
    <t>INV9808</t>
  </si>
  <si>
    <t>INV4492</t>
  </si>
  <si>
    <t>INV9288</t>
  </si>
  <si>
    <t>INV3170</t>
  </si>
  <si>
    <t>INV6718</t>
  </si>
  <si>
    <t>INV2127</t>
  </si>
  <si>
    <t>INV5002</t>
  </si>
  <si>
    <t>INV7054</t>
  </si>
  <si>
    <t>INV5669</t>
  </si>
  <si>
    <t>INV8179</t>
  </si>
  <si>
    <t>INV9900</t>
  </si>
  <si>
    <t>INV5956</t>
  </si>
  <si>
    <t>INV9666</t>
  </si>
  <si>
    <t>INV1128</t>
  </si>
  <si>
    <t>INV5905</t>
  </si>
  <si>
    <t>INV2697</t>
  </si>
  <si>
    <t>INV3200</t>
  </si>
  <si>
    <t>INV2891</t>
  </si>
  <si>
    <t>INV2753</t>
  </si>
  <si>
    <t>INV3546</t>
  </si>
  <si>
    <t>INV5462</t>
  </si>
  <si>
    <t>INV5616</t>
  </si>
  <si>
    <t>INV4450</t>
  </si>
  <si>
    <t>INV6617</t>
  </si>
  <si>
    <t>INV4335</t>
  </si>
  <si>
    <t>INV5325</t>
  </si>
  <si>
    <t>INV9280</t>
  </si>
  <si>
    <t>INV9004</t>
  </si>
  <si>
    <t>INV5114</t>
  </si>
  <si>
    <t>INV1832</t>
  </si>
  <si>
    <t>INV2512</t>
  </si>
  <si>
    <t>INV5533</t>
  </si>
  <si>
    <t>INV1722</t>
  </si>
  <si>
    <t>INV1058</t>
  </si>
  <si>
    <t>INV6464</t>
  </si>
  <si>
    <t>INV3143</t>
  </si>
  <si>
    <t>INV5291</t>
  </si>
  <si>
    <t>INV3647</t>
  </si>
  <si>
    <t>INV8239</t>
  </si>
  <si>
    <t>INV8007</t>
  </si>
  <si>
    <t>INV1158</t>
  </si>
  <si>
    <t>INV2232</t>
  </si>
  <si>
    <t>INV3442</t>
  </si>
  <si>
    <t>INV9938</t>
  </si>
  <si>
    <t>INV1590</t>
  </si>
  <si>
    <t>INV7049</t>
  </si>
  <si>
    <t>INV3426</t>
  </si>
  <si>
    <t>INV8041</t>
  </si>
  <si>
    <t>INV3088</t>
  </si>
  <si>
    <t>INV1685</t>
  </si>
  <si>
    <t>INV6050</t>
  </si>
  <si>
    <t>INV6974</t>
  </si>
  <si>
    <t>INV1653</t>
  </si>
  <si>
    <t>INV6862</t>
  </si>
  <si>
    <t>INV4441</t>
  </si>
  <si>
    <t>INV5088</t>
  </si>
  <si>
    <t>INV2684</t>
  </si>
  <si>
    <t>INV6794</t>
  </si>
  <si>
    <t>INV3532</t>
  </si>
  <si>
    <t>INV3662</t>
  </si>
  <si>
    <t>INV3900</t>
  </si>
  <si>
    <t>INV7755</t>
  </si>
  <si>
    <t>INV1406</t>
  </si>
  <si>
    <t>INV3938</t>
  </si>
  <si>
    <t>INV6442</t>
  </si>
  <si>
    <t>INV7745</t>
  </si>
  <si>
    <t>INV5065</t>
  </si>
  <si>
    <t>INV2771</t>
  </si>
  <si>
    <t>INV7267</t>
  </si>
  <si>
    <t>INV1634</t>
  </si>
  <si>
    <t>INV8711</t>
  </si>
  <si>
    <t>INV4644</t>
  </si>
  <si>
    <t>INV4269</t>
  </si>
  <si>
    <t>INV8541</t>
  </si>
  <si>
    <t>INV6728</t>
  </si>
  <si>
    <t>INV6000</t>
  </si>
  <si>
    <t>INV4728</t>
  </si>
  <si>
    <t>INV4652</t>
  </si>
  <si>
    <t>INV1387</t>
  </si>
  <si>
    <t>INV4164</t>
  </si>
  <si>
    <t>INV7528</t>
  </si>
  <si>
    <t>INV6378</t>
  </si>
  <si>
    <t>INV5564</t>
  </si>
  <si>
    <t>INV2137</t>
  </si>
  <si>
    <t>INV5573</t>
  </si>
  <si>
    <t>INV9346</t>
  </si>
  <si>
    <t>INV7548</t>
  </si>
  <si>
    <t>INV6425</t>
  </si>
  <si>
    <t>INV1452</t>
  </si>
  <si>
    <t>INV2889</t>
  </si>
  <si>
    <t>INV5279</t>
  </si>
  <si>
    <t>INV3925</t>
  </si>
  <si>
    <t>INV5349</t>
  </si>
  <si>
    <t>INV1626</t>
  </si>
  <si>
    <t>INV2776</t>
  </si>
  <si>
    <t>INV8119</t>
  </si>
  <si>
    <t>INV6663</t>
  </si>
  <si>
    <t>INV6139</t>
  </si>
  <si>
    <t>INV8149</t>
  </si>
  <si>
    <t>INV9379</t>
  </si>
  <si>
    <t>INV2894</t>
  </si>
  <si>
    <t>INV7311</t>
  </si>
  <si>
    <t>INV4114</t>
  </si>
  <si>
    <t>INV5173</t>
  </si>
  <si>
    <t>INV1727</t>
  </si>
  <si>
    <t>INV8144</t>
  </si>
  <si>
    <t>INV1027</t>
  </si>
  <si>
    <t>INV9518</t>
  </si>
  <si>
    <t>INV9821</t>
  </si>
  <si>
    <t>INV4228</t>
  </si>
  <si>
    <t>INV6967</t>
  </si>
  <si>
    <t>INV8066</t>
  </si>
  <si>
    <t>INV2146</t>
  </si>
  <si>
    <t>INV6409</t>
  </si>
  <si>
    <t>INV6143</t>
  </si>
  <si>
    <t>INV3041</t>
  </si>
  <si>
    <t>INV5920</t>
  </si>
  <si>
    <t>INV9308</t>
  </si>
  <si>
    <t>INV6067</t>
  </si>
  <si>
    <t>INV7691</t>
  </si>
  <si>
    <t>INV6344</t>
  </si>
  <si>
    <t>INV7592</t>
  </si>
  <si>
    <t>INV5844</t>
  </si>
  <si>
    <t>INV3085</t>
  </si>
  <si>
    <t>INV4143</t>
  </si>
  <si>
    <t>INV7888</t>
  </si>
  <si>
    <t>INV7211</t>
  </si>
  <si>
    <t>INV3851</t>
  </si>
  <si>
    <t>INV7653</t>
  </si>
  <si>
    <t>INV9977</t>
  </si>
  <si>
    <t>INV1006</t>
  </si>
  <si>
    <t>INV5978</t>
  </si>
  <si>
    <t>INV5700</t>
  </si>
  <si>
    <t>INV4443</t>
  </si>
  <si>
    <t>INV6279</t>
  </si>
  <si>
    <t>INV8618</t>
  </si>
  <si>
    <t>INV8238</t>
  </si>
  <si>
    <t>INV8244</t>
  </si>
  <si>
    <t>INV4501</t>
  </si>
  <si>
    <t>INV9375</t>
  </si>
  <si>
    <t>INV8752</t>
  </si>
  <si>
    <t>INV3780</t>
  </si>
  <si>
    <t>INV2389</t>
  </si>
  <si>
    <t>INV5649</t>
  </si>
  <si>
    <t>INV9445</t>
  </si>
  <si>
    <t>INV6491</t>
  </si>
  <si>
    <t>INV2530</t>
  </si>
  <si>
    <t>INV4848</t>
  </si>
  <si>
    <t>INV6085</t>
  </si>
  <si>
    <t>INV4680</t>
  </si>
  <si>
    <t>INV4262</t>
  </si>
  <si>
    <t>INV3414</t>
  </si>
  <si>
    <t>INV1400</t>
  </si>
  <si>
    <t>INV1757</t>
  </si>
  <si>
    <t>INV5011</t>
  </si>
  <si>
    <t>INV8784</t>
  </si>
  <si>
    <t>INV2193</t>
  </si>
  <si>
    <t>INV8461</t>
  </si>
  <si>
    <t>INV7790</t>
  </si>
  <si>
    <t>INV4185</t>
  </si>
  <si>
    <t>INV7291</t>
  </si>
  <si>
    <t>INV9099</t>
  </si>
  <si>
    <t>INV7547</t>
  </si>
  <si>
    <t>INV4997</t>
  </si>
  <si>
    <t>INV3417</t>
  </si>
  <si>
    <t>INV1090</t>
  </si>
  <si>
    <t>INV2746</t>
  </si>
  <si>
    <t>INV7965</t>
  </si>
  <si>
    <t>INV4585</t>
  </si>
  <si>
    <t>INV3881</t>
  </si>
  <si>
    <t>INV9486</t>
  </si>
  <si>
    <t>INV8611</t>
  </si>
  <si>
    <t>INV1822</t>
  </si>
  <si>
    <t>INV5082</t>
  </si>
  <si>
    <t>INV2988</t>
  </si>
  <si>
    <t>INV8478</t>
  </si>
  <si>
    <t>INV3184</t>
  </si>
  <si>
    <t>INV8612</t>
  </si>
  <si>
    <t>INV9702</t>
  </si>
  <si>
    <t>INV6198</t>
  </si>
  <si>
    <t>INV8251</t>
  </si>
  <si>
    <t>INV9270</t>
  </si>
  <si>
    <t>INV9976</t>
  </si>
  <si>
    <t>INV8305</t>
  </si>
  <si>
    <t>INV3607</t>
  </si>
  <si>
    <t>INV8777</t>
  </si>
  <si>
    <t>INV8373</t>
  </si>
  <si>
    <t>INV5246</t>
  </si>
  <si>
    <t>INV5050</t>
  </si>
  <si>
    <t>INV5543</t>
  </si>
  <si>
    <t>INV9540</t>
  </si>
  <si>
    <t>INV8939</t>
  </si>
  <si>
    <t>INV4919</t>
  </si>
  <si>
    <t>INV5499</t>
  </si>
  <si>
    <t>INV8206</t>
  </si>
  <si>
    <t>INV2269</t>
  </si>
  <si>
    <t>INV5681</t>
  </si>
  <si>
    <t>INV4841</t>
  </si>
  <si>
    <t>INV5451</t>
  </si>
  <si>
    <t>INV6502</t>
  </si>
  <si>
    <t>INV6238</t>
  </si>
  <si>
    <t>INV9849</t>
  </si>
  <si>
    <t>INV2320</t>
  </si>
  <si>
    <t>INV3267</t>
  </si>
  <si>
    <t>INV3471</t>
  </si>
  <si>
    <t>INV4788</t>
  </si>
  <si>
    <t>INV7275</t>
  </si>
  <si>
    <t>INV3503</t>
  </si>
  <si>
    <t>INV4505</t>
  </si>
  <si>
    <t>INV2052</t>
  </si>
  <si>
    <t>INV7797</t>
  </si>
  <si>
    <t>INV7678</t>
  </si>
  <si>
    <t>INV6421</t>
  </si>
  <si>
    <t>INV9890</t>
  </si>
  <si>
    <t>INV8633</t>
  </si>
  <si>
    <t>INV7812</t>
  </si>
  <si>
    <t>INV2020</t>
  </si>
  <si>
    <t>INV4388</t>
  </si>
  <si>
    <t>INV7883</t>
  </si>
  <si>
    <t>INV7381</t>
  </si>
  <si>
    <t>INV1320</t>
  </si>
  <si>
    <t>INV7232</t>
  </si>
  <si>
    <t>INV6763</t>
  </si>
  <si>
    <t>INV5892</t>
  </si>
  <si>
    <t>INV7389</t>
  </si>
  <si>
    <t>INV7865</t>
  </si>
  <si>
    <t>INV9818</t>
  </si>
  <si>
    <t>INV9947</t>
  </si>
  <si>
    <t>INV4613</t>
  </si>
  <si>
    <t>INV8999</t>
  </si>
  <si>
    <t>INV4595</t>
  </si>
  <si>
    <t>INV8140</t>
  </si>
  <si>
    <t>INV1475</t>
  </si>
  <si>
    <t>INV7371</t>
  </si>
  <si>
    <t>INV6507</t>
  </si>
  <si>
    <t>INV7624</t>
  </si>
  <si>
    <t>INV3704</t>
  </si>
  <si>
    <t>INV8657</t>
  </si>
  <si>
    <t>INV3091</t>
  </si>
  <si>
    <t>INV1441</t>
  </si>
  <si>
    <t>INV7455</t>
  </si>
  <si>
    <t>INV1444</t>
  </si>
  <si>
    <t>INV2375</t>
  </si>
  <si>
    <t>INV8022</t>
  </si>
  <si>
    <t>INV3223</t>
  </si>
  <si>
    <t>INV8564</t>
  </si>
  <si>
    <t>INV3977</t>
  </si>
  <si>
    <t>INV1823</t>
  </si>
  <si>
    <t>INV5262</t>
  </si>
  <si>
    <t>INV6363</t>
  </si>
  <si>
    <t>INV4467</t>
  </si>
  <si>
    <t>INV8449</t>
  </si>
  <si>
    <t>INV6355</t>
  </si>
  <si>
    <t>INV6529</t>
  </si>
  <si>
    <t>INV5558</t>
  </si>
  <si>
    <t>INV7906</t>
  </si>
  <si>
    <t>INV5133</t>
  </si>
  <si>
    <t>INV2341</t>
  </si>
  <si>
    <t>INV8705</t>
  </si>
  <si>
    <t>INV1317</t>
  </si>
  <si>
    <t>INV1853</t>
  </si>
  <si>
    <t>INV6733</t>
  </si>
  <si>
    <t>INV4673</t>
  </si>
  <si>
    <t>INV2124</t>
  </si>
  <si>
    <t>INV1659</t>
  </si>
  <si>
    <t>INV1508</t>
  </si>
  <si>
    <t>INV5051</t>
  </si>
  <si>
    <t>INV4266</t>
  </si>
  <si>
    <t>INV1333</t>
  </si>
  <si>
    <t>INV3496</t>
  </si>
  <si>
    <t>INV4908</t>
  </si>
  <si>
    <t>INV3068</t>
  </si>
  <si>
    <t>INV8758</t>
  </si>
  <si>
    <t>INV2874</t>
  </si>
  <si>
    <t>INV4571</t>
  </si>
  <si>
    <t>INV8619</t>
  </si>
  <si>
    <t>INV5198</t>
  </si>
  <si>
    <t>INV7043</t>
  </si>
  <si>
    <t>INV3749</t>
  </si>
  <si>
    <t>INV3683</t>
  </si>
  <si>
    <t>INV6096</t>
  </si>
  <si>
    <t>INV1420</t>
  </si>
  <si>
    <t>INV6111</t>
  </si>
  <si>
    <t>INV7149</t>
  </si>
  <si>
    <t>INV7498</t>
  </si>
  <si>
    <t>INV4249</t>
  </si>
  <si>
    <t>INV2245</t>
  </si>
  <si>
    <t>INV4978</t>
  </si>
  <si>
    <t>INV2669</t>
  </si>
  <si>
    <t>INV5941</t>
  </si>
  <si>
    <t>INV2983</t>
  </si>
  <si>
    <t>INV1672</t>
  </si>
  <si>
    <t>INV6688</t>
  </si>
  <si>
    <t>INV9728</t>
  </si>
  <si>
    <t>INV8018</t>
  </si>
  <si>
    <t>INV7071</t>
  </si>
  <si>
    <t>INV2129</t>
  </si>
  <si>
    <t>INV9289</t>
  </si>
  <si>
    <t>INV6590</t>
  </si>
  <si>
    <t>INV1207</t>
  </si>
  <si>
    <t>INV7882</t>
  </si>
  <si>
    <t>INV9031</t>
  </si>
  <si>
    <t>INV2729</t>
  </si>
  <si>
    <t>INV8102</t>
  </si>
  <si>
    <t>INV6934</t>
  </si>
  <si>
    <t>INV8532</t>
  </si>
  <si>
    <t>INV3506</t>
  </si>
  <si>
    <t>INV3885</t>
  </si>
  <si>
    <t>INV9548</t>
  </si>
  <si>
    <t>INV9817</t>
  </si>
  <si>
    <t>INV8921</t>
  </si>
  <si>
    <t>INV8616</t>
  </si>
  <si>
    <t>INV8136</t>
  </si>
  <si>
    <t>INV5397</t>
  </si>
  <si>
    <t>INV6280</t>
  </si>
  <si>
    <t>INV5022</t>
  </si>
  <si>
    <t>INV2419</t>
  </si>
  <si>
    <t>INV5569</t>
  </si>
  <si>
    <t>INV8385</t>
  </si>
  <si>
    <t>INV4995</t>
  </si>
  <si>
    <t>INV8613</t>
  </si>
  <si>
    <t>INV6511</t>
  </si>
  <si>
    <t>INV1470</t>
  </si>
  <si>
    <t>INV9098</t>
  </si>
  <si>
    <t>INV6325</t>
  </si>
  <si>
    <t>INV3979</t>
  </si>
  <si>
    <t>INV8988</t>
  </si>
  <si>
    <t>INV4475</t>
  </si>
  <si>
    <t>INV6813</t>
  </si>
  <si>
    <t>INV5232</t>
  </si>
  <si>
    <t>INV6576</t>
  </si>
  <si>
    <t>INV5581</t>
  </si>
  <si>
    <t>INV5526</t>
  </si>
  <si>
    <t>INV1166</t>
  </si>
  <si>
    <t>INV9464</t>
  </si>
  <si>
    <t>INV4130</t>
  </si>
  <si>
    <t>INV2402</t>
  </si>
  <si>
    <t>INV4954</t>
  </si>
  <si>
    <t>INV4937</t>
  </si>
  <si>
    <t>INV8800</t>
  </si>
  <si>
    <t>INV9041</t>
  </si>
  <si>
    <t>INV8342</t>
  </si>
  <si>
    <t>INV1282</t>
  </si>
  <si>
    <t>INV2524</t>
  </si>
  <si>
    <t>INV5820</t>
  </si>
  <si>
    <t>INV7625</t>
  </si>
  <si>
    <t>INV4986</t>
  </si>
  <si>
    <t>INV6016</t>
  </si>
  <si>
    <t>INV7046</t>
  </si>
  <si>
    <t>INV8753</t>
  </si>
  <si>
    <t>INV9698</t>
  </si>
  <si>
    <t>INV6632</t>
  </si>
  <si>
    <t>INV7971</t>
  </si>
  <si>
    <t>INV6419</t>
  </si>
  <si>
    <t>INV6764</t>
  </si>
  <si>
    <t>INV8434</t>
  </si>
  <si>
    <t>INV5438</t>
  </si>
  <si>
    <t>INV6023</t>
  </si>
  <si>
    <t>INV5118</t>
  </si>
  <si>
    <t>INV4777</t>
  </si>
  <si>
    <t>INV2976</t>
  </si>
  <si>
    <t>INV4155</t>
  </si>
  <si>
    <t>INV9779</t>
  </si>
  <si>
    <t>INV4033</t>
  </si>
  <si>
    <t>INV4138</t>
  </si>
  <si>
    <t>INV4545</t>
  </si>
  <si>
    <t>INV8933</t>
  </si>
  <si>
    <t>INV5530</t>
  </si>
  <si>
    <t>INV9595</t>
  </si>
  <si>
    <t>INV5636</t>
  </si>
  <si>
    <t>INV2647</t>
  </si>
  <si>
    <t>INV4180</t>
  </si>
  <si>
    <t>INV5853</t>
  </si>
  <si>
    <t>INV4727</t>
  </si>
  <si>
    <t>INV6912</t>
  </si>
  <si>
    <t>INV3939</t>
  </si>
  <si>
    <t>INV5952</t>
  </si>
  <si>
    <t>INV1231</t>
  </si>
  <si>
    <t>INV3073</t>
  </si>
  <si>
    <t>INV5494</t>
  </si>
  <si>
    <t>INV1745</t>
  </si>
  <si>
    <t>INV1893</t>
  </si>
  <si>
    <t>INV5786</t>
  </si>
  <si>
    <t>INV9042</t>
  </si>
  <si>
    <t>INV2680</t>
  </si>
  <si>
    <t>INV1200</t>
  </si>
  <si>
    <t>INV5658</t>
  </si>
  <si>
    <t>INV8690</t>
  </si>
  <si>
    <t>INV8843</t>
  </si>
  <si>
    <t>INV8216</t>
  </si>
  <si>
    <t>INV6582</t>
  </si>
  <si>
    <t>INV4020</t>
  </si>
  <si>
    <t>INV1841</t>
  </si>
  <si>
    <t>INV5136</t>
  </si>
  <si>
    <t>INV8827</t>
  </si>
  <si>
    <t>INV2869</t>
  </si>
  <si>
    <t>INV2070</t>
  </si>
  <si>
    <t>INV7565</t>
  </si>
  <si>
    <t>INV9056</t>
  </si>
  <si>
    <t>INV2213</t>
  </si>
  <si>
    <t>INV1878</t>
  </si>
  <si>
    <t>INV3485</t>
  </si>
  <si>
    <t>INV3444</t>
  </si>
  <si>
    <t>INV2395</t>
  </si>
  <si>
    <t>INV5066</t>
  </si>
  <si>
    <t>INV7818</t>
  </si>
  <si>
    <t>INV4697</t>
  </si>
  <si>
    <t>INV9561</t>
  </si>
  <si>
    <t>INV8381</t>
  </si>
  <si>
    <t>INV8253</t>
  </si>
  <si>
    <t>INV5871</t>
  </si>
  <si>
    <t>INV8025</t>
  </si>
  <si>
    <t>INV6003</t>
  </si>
  <si>
    <t>INV1986</t>
  </si>
  <si>
    <t>INV2625</t>
  </si>
  <si>
    <t>INV4404</t>
  </si>
  <si>
    <t>INV4457</t>
  </si>
  <si>
    <t>INV2330</t>
  </si>
  <si>
    <t>INV3573</t>
  </si>
  <si>
    <t>INV4929</t>
  </si>
  <si>
    <t>INV3847</t>
  </si>
  <si>
    <t>INV2229</t>
  </si>
  <si>
    <t>INV3564</t>
  </si>
  <si>
    <t>INV1043</t>
  </si>
  <si>
    <t>INV7693</t>
  </si>
  <si>
    <t>INV8699</t>
  </si>
  <si>
    <t>INV5771</t>
  </si>
  <si>
    <t>INV1534</t>
  </si>
  <si>
    <t>INV4792</t>
  </si>
  <si>
    <t>INV5720</t>
  </si>
  <si>
    <t>INV5632</t>
  </si>
  <si>
    <t>INV8438</t>
  </si>
  <si>
    <t>INV2166</t>
  </si>
  <si>
    <t>INV4824</t>
  </si>
  <si>
    <t>INV5334</t>
  </si>
  <si>
    <t>INV4241</t>
  </si>
  <si>
    <t>INV2880</t>
  </si>
  <si>
    <t>INV9922</t>
  </si>
  <si>
    <t>INV4683</t>
  </si>
  <si>
    <t>INV3441</t>
  </si>
  <si>
    <t>INV5352</t>
  </si>
  <si>
    <t>INV3330</t>
  </si>
  <si>
    <t>INV1977</t>
  </si>
  <si>
    <t>INV3718</t>
  </si>
  <si>
    <t>INV6039</t>
  </si>
  <si>
    <t>INV5728</t>
  </si>
  <si>
    <t>INV8195</t>
  </si>
  <si>
    <t>INV3037</t>
  </si>
  <si>
    <t>INV8679</t>
  </si>
  <si>
    <t>INV5982</t>
  </si>
  <si>
    <t>INV7594</t>
  </si>
  <si>
    <t>INV5460</t>
  </si>
  <si>
    <t>INV9199</t>
  </si>
  <si>
    <t>INV9847</t>
  </si>
  <si>
    <t>INV9090</t>
  </si>
  <si>
    <t>INV8172</t>
  </si>
  <si>
    <t>INV2317</t>
  </si>
  <si>
    <t>INV8078</t>
  </si>
  <si>
    <t>INV5102</t>
  </si>
  <si>
    <t>INV1423</t>
  </si>
  <si>
    <t>INV2496</t>
  </si>
  <si>
    <t>INV1339</t>
  </si>
  <si>
    <t>INV5415</t>
  </si>
  <si>
    <t>INV3870</t>
  </si>
  <si>
    <t>INV8708</t>
  </si>
  <si>
    <t>INV9502</t>
  </si>
  <si>
    <t>INV8245</t>
  </si>
  <si>
    <t>INV3973</t>
  </si>
  <si>
    <t>INV8141</t>
  </si>
  <si>
    <t>INV2494</t>
  </si>
  <si>
    <t>INV8700</t>
  </si>
  <si>
    <t>INV6700</t>
  </si>
  <si>
    <t>INV7690</t>
  </si>
  <si>
    <t>INV6460</t>
  </si>
  <si>
    <t>INV6260</t>
  </si>
  <si>
    <t>INV2713</t>
  </si>
  <si>
    <t>INV3634</t>
  </si>
  <si>
    <t>INV6403</t>
  </si>
  <si>
    <t>INV7744</t>
  </si>
  <si>
    <t>INV9117</t>
  </si>
  <si>
    <t>INV7561</t>
  </si>
  <si>
    <t>INV1601</t>
  </si>
  <si>
    <t>INV8451</t>
  </si>
  <si>
    <t>INV2442</t>
  </si>
  <si>
    <t>INV6153</t>
  </si>
  <si>
    <t>INV5135</t>
  </si>
  <si>
    <t>INV6296</t>
  </si>
  <si>
    <t>INV2899</t>
  </si>
  <si>
    <t>INV7622</t>
  </si>
  <si>
    <t>INV9431</t>
  </si>
  <si>
    <t>INV1018</t>
  </si>
  <si>
    <t>INV9889</t>
  </si>
  <si>
    <t>INV8569</t>
  </si>
  <si>
    <t>INV7770</t>
  </si>
  <si>
    <t>INV1888</t>
  </si>
  <si>
    <t>INV4073</t>
  </si>
  <si>
    <t>INV9494</t>
  </si>
  <si>
    <t>INV6927</t>
  </si>
  <si>
    <t>INV9167</t>
  </si>
  <si>
    <t>INV8242</t>
  </si>
  <si>
    <t>INV1845</t>
  </si>
  <si>
    <t>INV5375</t>
  </si>
  <si>
    <t>INV9998</t>
  </si>
  <si>
    <t>INV3146</t>
  </si>
  <si>
    <t>INV5719</t>
  </si>
  <si>
    <t>INV8178</t>
  </si>
  <si>
    <t>INV8941</t>
  </si>
  <si>
    <t>INV2989</t>
  </si>
  <si>
    <t>INV1472</t>
  </si>
  <si>
    <t>INV4920</t>
  </si>
  <si>
    <t>INV3594</t>
  </si>
  <si>
    <t>INV6091</t>
  </si>
  <si>
    <t>INV1224</t>
  </si>
  <si>
    <t>INV7684</t>
  </si>
  <si>
    <t>INV2527</t>
  </si>
  <si>
    <t>INV2858</t>
  </si>
  <si>
    <t>INV8560</t>
  </si>
  <si>
    <t>INV2924</t>
  </si>
  <si>
    <t>INV3522</t>
  </si>
  <si>
    <t>INV9165</t>
  </si>
  <si>
    <t>INV5781</t>
  </si>
  <si>
    <t>INV9337</t>
  </si>
  <si>
    <t>INV5479</t>
  </si>
  <si>
    <t>INV7807</t>
  </si>
  <si>
    <t>INV8905</t>
  </si>
  <si>
    <t>INV8736</t>
  </si>
  <si>
    <t>INV4993</t>
  </si>
  <si>
    <t>INV8483</t>
  </si>
  <si>
    <t>INV3369</t>
  </si>
  <si>
    <t>INV7284</t>
  </si>
  <si>
    <t>INV4122</t>
  </si>
  <si>
    <t>INV9327</t>
  </si>
  <si>
    <t>INV3236</t>
  </si>
  <si>
    <t>INV2143</t>
  </si>
  <si>
    <t>INV7798</t>
  </si>
  <si>
    <t>INV6568</t>
  </si>
  <si>
    <t>INV9318</t>
  </si>
  <si>
    <t>INV5377</t>
  </si>
  <si>
    <t>INV1042</t>
  </si>
  <si>
    <t>INV5634</t>
  </si>
  <si>
    <t>INV5891</t>
  </si>
  <si>
    <t>INV9022</t>
  </si>
  <si>
    <t>INV3434</t>
  </si>
  <si>
    <t>INV8316</t>
  </si>
  <si>
    <t>INV9824</t>
  </si>
  <si>
    <t>INV8935</t>
  </si>
  <si>
    <t>INV6654</t>
  </si>
  <si>
    <t>INV6446</t>
  </si>
  <si>
    <t>INV9903</t>
  </si>
  <si>
    <t>INV7180</t>
  </si>
  <si>
    <t>INV8460</t>
  </si>
  <si>
    <t>INV6272</t>
  </si>
  <si>
    <t>INV4090</t>
  </si>
  <si>
    <t>INV4912</t>
  </si>
  <si>
    <t>INV7274</t>
  </si>
  <si>
    <t>INV4826</t>
  </si>
  <si>
    <t>INV7730</t>
  </si>
  <si>
    <t>INV1715</t>
  </si>
  <si>
    <t>INV6213</t>
  </si>
  <si>
    <t>INV7246</t>
  </si>
  <si>
    <t>INV7325</t>
  </si>
  <si>
    <t>INV3492</t>
  </si>
  <si>
    <t>INV9115</t>
  </si>
  <si>
    <t>INV1606</t>
  </si>
  <si>
    <t>INV9229</t>
  </si>
  <si>
    <t>INV6439</t>
  </si>
  <si>
    <t>INV2644</t>
  </si>
  <si>
    <t>INV8213</t>
  </si>
  <si>
    <t>INV2633</t>
  </si>
  <si>
    <t>INV9617</t>
  </si>
  <si>
    <t>INV8486</t>
  </si>
  <si>
    <t>INV1251</t>
  </si>
  <si>
    <t>INV3361</t>
  </si>
  <si>
    <t>INV7717</t>
  </si>
  <si>
    <t>INV3529</t>
  </si>
  <si>
    <t>INV2225</t>
  </si>
  <si>
    <t>INV8692</t>
  </si>
  <si>
    <t>INV6546</t>
  </si>
  <si>
    <t>INV7512</t>
  </si>
  <si>
    <t>INV2315</t>
  </si>
  <si>
    <t>INV6383</t>
  </si>
  <si>
    <t>INV9742</t>
  </si>
  <si>
    <t>INV7226</t>
  </si>
  <si>
    <t>INV6188</t>
  </si>
  <si>
    <t>INV8994</t>
  </si>
  <si>
    <t>INV9864</t>
  </si>
  <si>
    <t>INV1588</t>
  </si>
  <si>
    <t>INV2121</t>
  </si>
  <si>
    <t>INV4846</t>
  </si>
  <si>
    <t>INV5708</t>
  </si>
  <si>
    <t>INV2480</t>
  </si>
  <si>
    <t>INV8110</t>
  </si>
  <si>
    <t>INV2646</t>
  </si>
  <si>
    <t>INV8269</t>
  </si>
  <si>
    <t>INV5906</t>
  </si>
  <si>
    <t>INV1474</t>
  </si>
  <si>
    <t>INV1753</t>
  </si>
  <si>
    <t>INV6314</t>
  </si>
  <si>
    <t>INV1919</t>
  </si>
  <si>
    <t>INV5806</t>
  </si>
  <si>
    <t>INV6873</t>
  </si>
  <si>
    <t>INV7141</t>
  </si>
  <si>
    <t>INV8056</t>
  </si>
  <si>
    <t>INV3385</t>
  </si>
  <si>
    <t>INV5000</t>
  </si>
  <si>
    <t>INV7751</t>
  </si>
  <si>
    <t>INV3950</t>
  </si>
  <si>
    <t>INV3785</t>
  </si>
  <si>
    <t>INV3868</t>
  </si>
  <si>
    <t>INV2293</t>
  </si>
  <si>
    <t>INV4945</t>
  </si>
  <si>
    <t>INV9153</t>
  </si>
  <si>
    <t>INV3344</t>
  </si>
  <si>
    <t>INV4804</t>
  </si>
  <si>
    <t>INV8555</t>
  </si>
  <si>
    <t>INV5161</t>
  </si>
  <si>
    <t>INV8529</t>
  </si>
  <si>
    <t>INV5183</t>
  </si>
  <si>
    <t>INV8622</t>
  </si>
  <si>
    <t>INV5712</t>
  </si>
  <si>
    <t>INV9955</t>
  </si>
  <si>
    <t>INV3588</t>
  </si>
  <si>
    <t>INV2210</t>
  </si>
  <si>
    <t>INV8237</t>
  </si>
  <si>
    <t>INV6661</t>
  </si>
  <si>
    <t>INV5901</t>
  </si>
  <si>
    <t>INV7951</t>
  </si>
  <si>
    <t>INV5097</t>
  </si>
  <si>
    <t>INV8484</t>
  </si>
  <si>
    <t>INV5949</t>
  </si>
  <si>
    <t>INV4263</t>
  </si>
  <si>
    <t>INV7302</t>
  </si>
  <si>
    <t>INV8916</t>
  </si>
  <si>
    <t>INV2747</t>
  </si>
  <si>
    <t>INV4886</t>
  </si>
  <si>
    <t>INV7248</t>
  </si>
  <si>
    <t>INV5847</t>
  </si>
  <si>
    <t>INV5837</t>
  </si>
  <si>
    <t>INV1359</t>
  </si>
  <si>
    <t>INV5497</t>
  </si>
  <si>
    <t>INV1132</t>
  </si>
  <si>
    <t>INV1803</t>
  </si>
  <si>
    <t>INV9138</t>
  </si>
  <si>
    <t>INV5689</t>
  </si>
  <si>
    <t>INV6772</t>
  </si>
  <si>
    <t>INV4588</t>
  </si>
  <si>
    <t>INV4115</t>
  </si>
  <si>
    <t>INV5106</t>
  </si>
  <si>
    <t>INV3240</t>
  </si>
  <si>
    <t>INV2591</t>
  </si>
  <si>
    <t>INV1645</t>
  </si>
  <si>
    <t>INV6061</t>
  </si>
  <si>
    <t>INV8222</t>
  </si>
  <si>
    <t>INV1546</t>
  </si>
  <si>
    <t>INV3153</t>
  </si>
  <si>
    <t>INV2476</t>
  </si>
  <si>
    <t>INV5835</t>
  </si>
  <si>
    <t>INV6352</t>
  </si>
  <si>
    <t>INV3877</t>
  </si>
  <si>
    <t>INV4289</t>
  </si>
  <si>
    <t>INV3165</t>
  </si>
  <si>
    <t>INV6994</t>
  </si>
  <si>
    <t>INV9697</t>
  </si>
  <si>
    <t>INV9221</t>
  </si>
  <si>
    <t>INV5465</t>
  </si>
  <si>
    <t>INV3695</t>
  </si>
  <si>
    <t>INV5210</t>
  </si>
  <si>
    <t>INV8894</t>
  </si>
  <si>
    <t>INV6549</t>
  </si>
  <si>
    <t>INV2886</t>
  </si>
  <si>
    <t>INV8673</t>
  </si>
  <si>
    <t>INV2233</t>
  </si>
  <si>
    <t>INV3306</t>
  </si>
  <si>
    <t>INV4696</t>
  </si>
  <si>
    <t>INV7511</t>
  </si>
  <si>
    <t>INV6992</t>
  </si>
  <si>
    <t>INV2479</t>
  </si>
  <si>
    <t>INV7464</t>
  </si>
  <si>
    <t>INV1228</t>
  </si>
  <si>
    <t>INV5332</t>
  </si>
  <si>
    <t>INV9791</t>
  </si>
  <si>
    <t>INV3024</t>
  </si>
  <si>
    <t>INV7038</t>
  </si>
  <si>
    <t>INV5295</t>
  </si>
  <si>
    <t>INV7242</t>
  </si>
  <si>
    <t>INV7086</t>
  </si>
  <si>
    <t>INV2775</t>
  </si>
  <si>
    <t>INV4830</t>
  </si>
  <si>
    <t>INV8724</t>
  </si>
  <si>
    <t>INV1410</t>
  </si>
  <si>
    <t>INV6374</t>
  </si>
  <si>
    <t>INV4626</t>
  </si>
  <si>
    <t>INV2035</t>
  </si>
  <si>
    <t>INV8606</t>
  </si>
  <si>
    <t>INV5951</t>
  </si>
  <si>
    <t>INV7689</t>
  </si>
  <si>
    <t>INV2911</t>
  </si>
  <si>
    <t>INV3290</t>
  </si>
  <si>
    <t>INV1742</t>
  </si>
  <si>
    <t>INV1609</t>
  </si>
  <si>
    <t>INV5986</t>
  </si>
  <si>
    <t>INV9071</t>
  </si>
  <si>
    <t>INV2902</t>
  </si>
  <si>
    <t>INV2592</t>
  </si>
  <si>
    <t>INV9807</t>
  </si>
  <si>
    <t>INV3222</t>
  </si>
  <si>
    <t>INV8432</t>
  </si>
  <si>
    <t>INV7078</t>
  </si>
  <si>
    <t>INV9850</t>
  </si>
  <si>
    <t>INV7866</t>
  </si>
  <si>
    <t>INV3531</t>
  </si>
  <si>
    <t>INV2622</t>
  </si>
  <si>
    <t>INV9017</t>
  </si>
  <si>
    <t>INV7686</t>
  </si>
  <si>
    <t>INV1536</t>
  </si>
  <si>
    <t>INV7070</t>
  </si>
  <si>
    <t>INV4559</t>
  </si>
  <si>
    <t>INV8264</t>
  </si>
  <si>
    <t>INV8285</t>
  </si>
  <si>
    <t>INV4868</t>
  </si>
  <si>
    <t>INV6942</t>
  </si>
  <si>
    <t>INV2627</t>
  </si>
  <si>
    <t>INV7018</t>
  </si>
  <si>
    <t>INV9920</t>
  </si>
  <si>
    <t>INV6876</t>
  </si>
  <si>
    <t>INV1992</t>
  </si>
  <si>
    <t>INV7523</t>
  </si>
  <si>
    <t>INV5520</t>
  </si>
  <si>
    <t>INV4109</t>
  </si>
  <si>
    <t>INV3001</t>
  </si>
  <si>
    <t>INV8450</t>
  </si>
  <si>
    <t>INV2501</t>
  </si>
  <si>
    <t>INV1349</t>
  </si>
  <si>
    <t>INV4990</t>
  </si>
  <si>
    <t>INV3063</t>
  </si>
  <si>
    <t>INV4362</t>
  </si>
  <si>
    <t>INV4394</t>
  </si>
  <si>
    <t>INV4538</t>
  </si>
  <si>
    <t>Cust_99</t>
  </si>
  <si>
    <t>Cust_148</t>
  </si>
  <si>
    <t>Cust_231</t>
  </si>
  <si>
    <t>Cust_61</t>
  </si>
  <si>
    <t>Cust_207</t>
  </si>
  <si>
    <t>Cust_387</t>
  </si>
  <si>
    <t>Cust_383</t>
  </si>
  <si>
    <t>Cust_166</t>
  </si>
  <si>
    <t>Cust_185</t>
  </si>
  <si>
    <t>Cust_390</t>
  </si>
  <si>
    <t>Cust_375</t>
  </si>
  <si>
    <t>Cust_130</t>
  </si>
  <si>
    <t>Cust_173</t>
  </si>
  <si>
    <t>Cust_72</t>
  </si>
  <si>
    <t>Cust_333</t>
  </si>
  <si>
    <t>Cust_335</t>
  </si>
  <si>
    <t>Cust_289</t>
  </si>
  <si>
    <t>Cust_141</t>
  </si>
  <si>
    <t>Cust_313</t>
  </si>
  <si>
    <t>Cust_7</t>
  </si>
  <si>
    <t>Cust_382</t>
  </si>
  <si>
    <t>Cust_29</t>
  </si>
  <si>
    <t>Cust_299</t>
  </si>
  <si>
    <t>Cust_356</t>
  </si>
  <si>
    <t>Cust_225</t>
  </si>
  <si>
    <t>Cust_84</t>
  </si>
  <si>
    <t>Cust_332</t>
  </si>
  <si>
    <t>Cust_219</t>
  </si>
  <si>
    <t>Cust_216</t>
  </si>
  <si>
    <t>Cust_381</t>
  </si>
  <si>
    <t>Cust_330</t>
  </si>
  <si>
    <t>Cust_365</t>
  </si>
  <si>
    <t>Cust_186</t>
  </si>
  <si>
    <t>Cust_371</t>
  </si>
  <si>
    <t>Cust_192</t>
  </si>
  <si>
    <t>Cust_302</t>
  </si>
  <si>
    <t>Cust_112</t>
  </si>
  <si>
    <t>Cust_293</t>
  </si>
  <si>
    <t>Cust_261</t>
  </si>
  <si>
    <t>Cust_262</t>
  </si>
  <si>
    <t>Cust_39</t>
  </si>
  <si>
    <t>Cust_331</t>
  </si>
  <si>
    <t>Cust_324</t>
  </si>
  <si>
    <t>Cust_244</t>
  </si>
  <si>
    <t>Cust_303</t>
  </si>
  <si>
    <t>Cust_102</t>
  </si>
  <si>
    <t>Cust_318</t>
  </si>
  <si>
    <t>Cust_59</t>
  </si>
  <si>
    <t>Cust_288</t>
  </si>
  <si>
    <t>Cust_340</t>
  </si>
  <si>
    <t>Cust_88</t>
  </si>
  <si>
    <t>Cust_49</t>
  </si>
  <si>
    <t>Cust_215</t>
  </si>
  <si>
    <t>Cust_193</t>
  </si>
  <si>
    <t>Cust_228</t>
  </si>
  <si>
    <t>Cust_1</t>
  </si>
  <si>
    <t>Cust_163</t>
  </si>
  <si>
    <t>Cust_119</t>
  </si>
  <si>
    <t>Cust_181</t>
  </si>
  <si>
    <t>Cust_250</t>
  </si>
  <si>
    <t>Cust_125</t>
  </si>
  <si>
    <t>Cust_377</t>
  </si>
  <si>
    <t>Cust_73</t>
  </si>
  <si>
    <t>Cust_79</t>
  </si>
  <si>
    <t>Cust_96</t>
  </si>
  <si>
    <t>Cust_175</t>
  </si>
  <si>
    <t>Cust_9</t>
  </si>
  <si>
    <t>Cust_336</t>
  </si>
  <si>
    <t>Cust_87</t>
  </si>
  <si>
    <t>Cust_8</t>
  </si>
  <si>
    <t>Cust_183</t>
  </si>
  <si>
    <t>Cust_276</t>
  </si>
  <si>
    <t>Cust_287</t>
  </si>
  <si>
    <t>Cust_98</t>
  </si>
  <si>
    <t>Cust_86</t>
  </si>
  <si>
    <t>Cust_145</t>
  </si>
  <si>
    <t>Cust_146</t>
  </si>
  <si>
    <t>Cust_214</t>
  </si>
  <si>
    <t>Cust_380</t>
  </si>
  <si>
    <t>Cust_397</t>
  </si>
  <si>
    <t>Cust_17</t>
  </si>
  <si>
    <t>Cust_312</t>
  </si>
  <si>
    <t>Cust_363</t>
  </si>
  <si>
    <t>Cust_359</t>
  </si>
  <si>
    <t>Cust_227</t>
  </si>
  <si>
    <t>Cust_14</t>
  </si>
  <si>
    <t>Cust_24</t>
  </si>
  <si>
    <t>Cust_326</t>
  </si>
  <si>
    <t>Cust_19</t>
  </si>
  <si>
    <t>Cust_82</t>
  </si>
  <si>
    <t>Cust_223</t>
  </si>
  <si>
    <t>Cust_67</t>
  </si>
  <si>
    <t>Cust_151</t>
  </si>
  <si>
    <t>Cust_233</t>
  </si>
  <si>
    <t>Cust_273</t>
  </si>
  <si>
    <t>Cust_239</t>
  </si>
  <si>
    <t>Cust_11</t>
  </si>
  <si>
    <t>Cust_128</t>
  </si>
  <si>
    <t>Cust_160</t>
  </si>
  <si>
    <t>Cust_269</t>
  </si>
  <si>
    <t>Cust_2</t>
  </si>
  <si>
    <t>Cust_121</t>
  </si>
  <si>
    <t>Cust_305</t>
  </si>
  <si>
    <t>Cust_37</t>
  </si>
  <si>
    <t>Cust_195</t>
  </si>
  <si>
    <t>Cust_364</t>
  </si>
  <si>
    <t>Cust_220</t>
  </si>
  <si>
    <t>Cust_197</t>
  </si>
  <si>
    <t>Cust_222</t>
  </si>
  <si>
    <t>Cust_177</t>
  </si>
  <si>
    <t>Cust_201</t>
  </si>
  <si>
    <t>Cust_229</t>
  </si>
  <si>
    <t>Cust_46</t>
  </si>
  <si>
    <t>Cust_362</t>
  </si>
  <si>
    <t>Cust_294</t>
  </si>
  <si>
    <t>Cust_218</t>
  </si>
  <si>
    <t>Cust_204</t>
  </si>
  <si>
    <t>Cust_57</t>
  </si>
  <si>
    <t>Cust_328</t>
  </si>
  <si>
    <t>Cust_342</t>
  </si>
  <si>
    <t>Cust_378</t>
  </si>
  <si>
    <t>Cust_224</t>
  </si>
  <si>
    <t>Cust_142</t>
  </si>
  <si>
    <t>Cust_316</t>
  </si>
  <si>
    <t>Cust_26</t>
  </si>
  <si>
    <t>Cust_270</t>
  </si>
  <si>
    <t>Cust_258</t>
  </si>
  <si>
    <t>Cust_292</t>
  </si>
  <si>
    <t>Cust_226</t>
  </si>
  <si>
    <t>Cust_255</t>
  </si>
  <si>
    <t>Cust_131</t>
  </si>
  <si>
    <t>Cust_153</t>
  </si>
  <si>
    <t>Cust_202</t>
  </si>
  <si>
    <t>Cust_63</t>
  </si>
  <si>
    <t>Cust_80</t>
  </si>
  <si>
    <t>Cust_92</t>
  </si>
  <si>
    <t>Cust_236</t>
  </si>
  <si>
    <t>Cust_393</t>
  </si>
  <si>
    <t>Cust_62</t>
  </si>
  <si>
    <t>Cust_395</t>
  </si>
  <si>
    <t>Cust_176</t>
  </si>
  <si>
    <t>Cust_268</t>
  </si>
  <si>
    <t>Cust_52</t>
  </si>
  <si>
    <t>Cust_171</t>
  </si>
  <si>
    <t>Cust_113</t>
  </si>
  <si>
    <t>Cust_158</t>
  </si>
  <si>
    <t>Cust_355</t>
  </si>
  <si>
    <t>Cust_165</t>
  </si>
  <si>
    <t>Cust_50</t>
  </si>
  <si>
    <t>Cust_53</t>
  </si>
  <si>
    <t>Cust_352</t>
  </si>
  <si>
    <t>Cust_77</t>
  </si>
  <si>
    <t>Cust_349</t>
  </si>
  <si>
    <t>Cust_366</t>
  </si>
  <si>
    <t>Cust_379</t>
  </si>
  <si>
    <t>Cust_107</t>
  </si>
  <si>
    <t>Cust_360</t>
  </si>
  <si>
    <t>Cust_47</t>
  </si>
  <si>
    <t>Cust_376</t>
  </si>
  <si>
    <t>Cust_325</t>
  </si>
  <si>
    <t>Cust_309</t>
  </si>
  <si>
    <t>Cust_310</t>
  </si>
  <si>
    <t>Cust_90</t>
  </si>
  <si>
    <t>Cust_301</t>
  </si>
  <si>
    <t>Cust_396</t>
  </si>
  <si>
    <t>Cust_75</t>
  </si>
  <si>
    <t>Cust_157</t>
  </si>
  <si>
    <t>Cust_246</t>
  </si>
  <si>
    <t>Cust_16</t>
  </si>
  <si>
    <t>Cust_115</t>
  </si>
  <si>
    <t>Cust_188</t>
  </si>
  <si>
    <t>Cust_280</t>
  </si>
  <si>
    <t>Cust_149</t>
  </si>
  <si>
    <t>Cust_184</t>
  </si>
  <si>
    <t>Cust_243</t>
  </si>
  <si>
    <t>Cust_13</t>
  </si>
  <si>
    <t>Cust_296</t>
  </si>
  <si>
    <t>Cust_127</t>
  </si>
  <si>
    <t>Cust_147</t>
  </si>
  <si>
    <t>Cust_284</t>
  </si>
  <si>
    <t>Cust_311</t>
  </si>
  <si>
    <t>Cust_150</t>
  </si>
  <si>
    <t>Cust_350</t>
  </si>
  <si>
    <t>Cust_391</t>
  </si>
  <si>
    <t>Cust_281</t>
  </si>
  <si>
    <t>Cust_334</t>
  </si>
  <si>
    <t>Cust_120</t>
  </si>
  <si>
    <t>Cust_344</t>
  </si>
  <si>
    <t>Cust_161</t>
  </si>
  <si>
    <t>Cust_323</t>
  </si>
  <si>
    <t>Cust_36</t>
  </si>
  <si>
    <t>Cust_12</t>
  </si>
  <si>
    <t>Cust_25</t>
  </si>
  <si>
    <t>Cust_211</t>
  </si>
  <si>
    <t>Cust_235</t>
  </si>
  <si>
    <t>Cust_31</t>
  </si>
  <si>
    <t>Cust_337</t>
  </si>
  <si>
    <t>Cust_152</t>
  </si>
  <si>
    <t>Cust_208</t>
  </si>
  <si>
    <t>Cust_264</t>
  </si>
  <si>
    <t>Cust_221</t>
  </si>
  <si>
    <t>Cust_27</t>
  </si>
  <si>
    <t>Cust_118</t>
  </si>
  <si>
    <t>Cust_361</t>
  </si>
  <si>
    <t>Cust_111</t>
  </si>
  <si>
    <t>Cust_285</t>
  </si>
  <si>
    <t>Cust_251</t>
  </si>
  <si>
    <t>Cust_15</t>
  </si>
  <si>
    <t>Cust_394</t>
  </si>
  <si>
    <t>Cust_169</t>
  </si>
  <si>
    <t>Cust_159</t>
  </si>
  <si>
    <t>Cust_85</t>
  </si>
  <si>
    <t>Cust_108</t>
  </si>
  <si>
    <t>Cust_242</t>
  </si>
  <si>
    <t>Cust_354</t>
  </si>
  <si>
    <t>Cust_206</t>
  </si>
  <si>
    <t>Cust_319</t>
  </si>
  <si>
    <t>Cust_388</t>
  </si>
  <si>
    <t>Cust_76</t>
  </si>
  <si>
    <t>Cust_58</t>
  </si>
  <si>
    <t>Cust_370</t>
  </si>
  <si>
    <t>Cust_274</t>
  </si>
  <si>
    <t>Cust_134</t>
  </si>
  <si>
    <t>Cust_109</t>
  </si>
  <si>
    <t>Cust_178</t>
  </si>
  <si>
    <t>Cust_137</t>
  </si>
  <si>
    <t>Cust_234</t>
  </si>
  <si>
    <t>Cust_291</t>
  </si>
  <si>
    <t>Cust_345</t>
  </si>
  <si>
    <t>Cust_210</t>
  </si>
  <si>
    <t>Cust_164</t>
  </si>
  <si>
    <t>Cust_123</t>
  </si>
  <si>
    <t>Cust_69</t>
  </si>
  <si>
    <t>Cust_386</t>
  </si>
  <si>
    <t>Cust_232</t>
  </si>
  <si>
    <t>Cust_346</t>
  </si>
  <si>
    <t>Cust_374</t>
  </si>
  <si>
    <t>Cust_18</t>
  </si>
  <si>
    <t>Cust_40</t>
  </si>
  <si>
    <t>Cust_20</t>
  </si>
  <si>
    <t>Cust_321</t>
  </si>
  <si>
    <t>Cust_320</t>
  </si>
  <si>
    <t>Cust_399</t>
  </si>
  <si>
    <t>Cust_168</t>
  </si>
  <si>
    <t>Cust_341</t>
  </si>
  <si>
    <t>Cust_81</t>
  </si>
  <si>
    <t>Cust_129</t>
  </si>
  <si>
    <t>Cust_156</t>
  </si>
  <si>
    <t>Cust_198</t>
  </si>
  <si>
    <t>Cust_348</t>
  </si>
  <si>
    <t>Cust_357</t>
  </si>
  <si>
    <t>Cust_209</t>
  </si>
  <si>
    <t>Cust_174</t>
  </si>
  <si>
    <t>Cust_100</t>
  </si>
  <si>
    <t>Cust_117</t>
  </si>
  <si>
    <t>Cust_42</t>
  </si>
  <si>
    <t>Cust_4</t>
  </si>
  <si>
    <t>Cust_65</t>
  </si>
  <si>
    <t>Cust_34</t>
  </si>
  <si>
    <t>Cust_389</t>
  </si>
  <si>
    <t>Cust_241</t>
  </si>
  <si>
    <t>Cust_78</t>
  </si>
  <si>
    <t>Cust_122</t>
  </si>
  <si>
    <t>Cust_114</t>
  </si>
  <si>
    <t>Cust_104</t>
  </si>
  <si>
    <t>Cust_338</t>
  </si>
  <si>
    <t>Cust_217</t>
  </si>
  <si>
    <t>Cust_283</t>
  </si>
  <si>
    <t>Cust_66</t>
  </si>
  <si>
    <t>Cust_180</t>
  </si>
  <si>
    <t>Cust_237</t>
  </si>
  <si>
    <t>Cust_126</t>
  </si>
  <si>
    <t>Cust_339</t>
  </si>
  <si>
    <t>Cust_133</t>
  </si>
  <si>
    <t>Cust_295</t>
  </si>
  <si>
    <t>Cust_298</t>
  </si>
  <si>
    <t>Cust_306</t>
  </si>
  <si>
    <t>Cust_200</t>
  </si>
  <si>
    <t>Cust_392</t>
  </si>
  <si>
    <t>Cust_64</t>
  </si>
  <si>
    <t>Cust_307</t>
  </si>
  <si>
    <t>Cust_267</t>
  </si>
  <si>
    <t>Cust_5</t>
  </si>
  <si>
    <t>Cust_314</t>
  </si>
  <si>
    <t>Cust_60</t>
  </si>
  <si>
    <t>Cust_327</t>
  </si>
  <si>
    <t>Cust_286</t>
  </si>
  <si>
    <t>Cust_93</t>
  </si>
  <si>
    <t>Cust_263</t>
  </si>
  <si>
    <t>Cust_155</t>
  </si>
  <si>
    <t>Cust_55</t>
  </si>
  <si>
    <t>Cust_143</t>
  </si>
  <si>
    <t>Cust_182</t>
  </si>
  <si>
    <t>Cust_384</t>
  </si>
  <si>
    <t>Cust_367</t>
  </si>
  <si>
    <t>Cust_260</t>
  </si>
  <si>
    <t>Cust_205</t>
  </si>
  <si>
    <t>Cust_74</t>
  </si>
  <si>
    <t>Cust_154</t>
  </si>
  <si>
    <t>Cust_329</t>
  </si>
  <si>
    <t>Cust_257</t>
  </si>
  <si>
    <t>Cust_297</t>
  </si>
  <si>
    <t>Cust_179</t>
  </si>
  <si>
    <t>Cust_56</t>
  </si>
  <si>
    <t>Cust_256</t>
  </si>
  <si>
    <t>Cust_89</t>
  </si>
  <si>
    <t>Cust_282</t>
  </si>
  <si>
    <t>Cust_315</t>
  </si>
  <si>
    <t>Cust_266</t>
  </si>
  <si>
    <t>Cust_213</t>
  </si>
  <si>
    <t>Cust_51</t>
  </si>
  <si>
    <t>Cust_38</t>
  </si>
  <si>
    <t>Cust_101</t>
  </si>
  <si>
    <t>Cust_259</t>
  </si>
  <si>
    <t>Cust_190</t>
  </si>
  <si>
    <t>Cust_22</t>
  </si>
  <si>
    <t>Cust_247</t>
  </si>
  <si>
    <t>Cust_44</t>
  </si>
  <si>
    <t>Cust_240</t>
  </si>
  <si>
    <t>Cust_97</t>
  </si>
  <si>
    <t>Female</t>
  </si>
  <si>
    <t>Male</t>
  </si>
  <si>
    <t>46-60</t>
  </si>
  <si>
    <t>26-35</t>
  </si>
  <si>
    <t>25-35</t>
  </si>
  <si>
    <t>18-25</t>
  </si>
  <si>
    <t>36-45</t>
  </si>
  <si>
    <t>Electronics</t>
  </si>
  <si>
    <t>Clothing</t>
  </si>
  <si>
    <t>Grocery</t>
  </si>
  <si>
    <t>Beauty</t>
  </si>
  <si>
    <t>Furniture</t>
  </si>
  <si>
    <t>Laptop</t>
  </si>
  <si>
    <t>Headphones</t>
  </si>
  <si>
    <t>T-Shirt</t>
  </si>
  <si>
    <t>Oil Bottle</t>
  </si>
  <si>
    <t>Cabinet</t>
  </si>
  <si>
    <t>Lipstick</t>
  </si>
  <si>
    <t>Moisturizer</t>
  </si>
  <si>
    <t>Perfume</t>
  </si>
  <si>
    <t>Jeans</t>
  </si>
  <si>
    <t>Rice</t>
  </si>
  <si>
    <t>Shampoo</t>
  </si>
  <si>
    <t>Tea</t>
  </si>
  <si>
    <t>Shirt</t>
  </si>
  <si>
    <t>Sugar</t>
  </si>
  <si>
    <t>Camera</t>
  </si>
  <si>
    <t>Phone</t>
  </si>
  <si>
    <t>Chair</t>
  </si>
  <si>
    <t>Table</t>
  </si>
  <si>
    <t>Bed</t>
  </si>
  <si>
    <t>Dress</t>
  </si>
  <si>
    <t>West</t>
  </si>
  <si>
    <t>South</t>
  </si>
  <si>
    <t>East</t>
  </si>
  <si>
    <t>North</t>
  </si>
  <si>
    <t>Credit Card</t>
  </si>
  <si>
    <t>Cash</t>
  </si>
  <si>
    <t>UPI</t>
  </si>
  <si>
    <t>Card</t>
  </si>
  <si>
    <t>Net Banking</t>
  </si>
  <si>
    <t>Row Labels</t>
  </si>
  <si>
    <t>Grand Total</t>
  </si>
  <si>
    <t>Column Labels</t>
  </si>
  <si>
    <t>Sum of Units_Sold</t>
  </si>
  <si>
    <t>N/A</t>
  </si>
  <si>
    <t>Sum of Total_Sales</t>
  </si>
  <si>
    <t>Count of Units_Sold</t>
  </si>
  <si>
    <t>Total Sales</t>
  </si>
  <si>
    <t>Total Orders</t>
  </si>
  <si>
    <t>Unique Cx</t>
  </si>
  <si>
    <t>Count of Total_Sales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</si>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</sst>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1" xfId="0" applyNumberFormat="1"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11">
    <dxf>
      <numFmt numFmtId="164" formatCode="&quot;₹&quot;\ #,##0.00"/>
    </dxf>
    <dxf>
      <numFmt numFmtId="164" formatCode="&quot;₹&quot;\ #,##0.00"/>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ill>
        <patternFill>
          <bgColor theme="3" tint="0.59996337778862885"/>
        </patternFill>
      </fill>
    </dxf>
    <dxf>
      <font>
        <color theme="3" tint="0.79998168889431442"/>
      </font>
    </dxf>
  </dxfs>
  <tableStyles count="2" defaultTableStyle="TableStyleMedium9" defaultPivotStyle="PivotStyleLight16">
    <tableStyle name="Slicer Style 1" pivot="0" table="0" count="1" xr9:uid="{A16CCC52-A09C-48EC-A222-BDE7BF4B395F}">
      <tableStyleElement type="wholeTable" dxfId="10"/>
    </tableStyle>
    <tableStyle name="Slicer Style 2" pivot="0" table="0" count="1" xr9:uid="{2BE293ED-6450-434D-A5BD-1111664DFCFF}">
      <tableStyleElement type="wholeTable" dxfId="9"/>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Table!PivotTable1</c:name>
    <c:fmtId val="2"/>
  </c:pivotSource>
  <c:chart>
    <c:title>
      <c:tx>
        <c:rich>
          <a:bodyPr rot="0" spcFirstLastPara="1" vertOverflow="ellipsis" vert="horz" wrap="square" anchor="ctr" anchorCtr="1"/>
          <a:lstStyle/>
          <a:p>
            <a:pPr>
              <a:defRPr lang="en-US" sz="10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lang="en-US" sz="10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2"/>
              </a:solidFill>
              <a:round/>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cat>
            <c:strRef>
              <c:f>'Pivot Table'!$A$4:$A$8</c:f>
              <c:strCache>
                <c:ptCount val="4"/>
                <c:pt idx="0">
                  <c:v>East</c:v>
                </c:pt>
                <c:pt idx="1">
                  <c:v>West</c:v>
                </c:pt>
                <c:pt idx="2">
                  <c:v>South</c:v>
                </c:pt>
                <c:pt idx="3">
                  <c:v>North</c:v>
                </c:pt>
              </c:strCache>
            </c:strRef>
          </c:cat>
          <c:val>
            <c:numRef>
              <c:f>'Pivot Table'!$B$4:$B$8</c:f>
              <c:numCache>
                <c:formatCode>General</c:formatCode>
                <c:ptCount val="4"/>
                <c:pt idx="0">
                  <c:v>4609097</c:v>
                </c:pt>
                <c:pt idx="1">
                  <c:v>4695089</c:v>
                </c:pt>
                <c:pt idx="2">
                  <c:v>8935753</c:v>
                </c:pt>
                <c:pt idx="3">
                  <c:v>21496732</c:v>
                </c:pt>
              </c:numCache>
            </c:numRef>
          </c:val>
          <c:smooth val="0"/>
          <c:extLst>
            <c:ext xmlns:c16="http://schemas.microsoft.com/office/drawing/2014/chart" uri="{C3380CC4-5D6E-409C-BE32-E72D297353CC}">
              <c16:uniqueId val="{00000000-29F0-4BF6-ACDC-94915EB006AF}"/>
            </c:ext>
          </c:extLst>
        </c:ser>
        <c:dLbls>
          <c:showLegendKey val="0"/>
          <c:showVal val="0"/>
          <c:showCatName val="0"/>
          <c:showSerName val="0"/>
          <c:showPercent val="0"/>
          <c:showBubbleSize val="0"/>
        </c:dLbls>
        <c:marker val="1"/>
        <c:smooth val="0"/>
        <c:axId val="1201684704"/>
        <c:axId val="1201682208"/>
      </c:lineChart>
      <c:catAx>
        <c:axId val="12016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1682208"/>
        <c:crosses val="autoZero"/>
        <c:auto val="1"/>
        <c:lblAlgn val="ctr"/>
        <c:lblOffset val="100"/>
        <c:noMultiLvlLbl val="0"/>
      </c:catAx>
      <c:valAx>
        <c:axId val="120168220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168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Table!PivotTable3</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Table'!$B$18:$B$19</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Table'!$B$20:$B$25</c:f>
              <c:numCache>
                <c:formatCode>General</c:formatCode>
                <c:ptCount val="5"/>
                <c:pt idx="0">
                  <c:v>1849</c:v>
                </c:pt>
                <c:pt idx="1">
                  <c:v>550</c:v>
                </c:pt>
                <c:pt idx="2">
                  <c:v>1197</c:v>
                </c:pt>
                <c:pt idx="3">
                  <c:v>476</c:v>
                </c:pt>
                <c:pt idx="4">
                  <c:v>593</c:v>
                </c:pt>
              </c:numCache>
            </c:numRef>
          </c:val>
          <c:extLst>
            <c:ext xmlns:c16="http://schemas.microsoft.com/office/drawing/2014/chart" uri="{C3380CC4-5D6E-409C-BE32-E72D297353CC}">
              <c16:uniqueId val="{00000000-5C5C-4190-A227-670D40E49AD6}"/>
            </c:ext>
          </c:extLst>
        </c:ser>
        <c:ser>
          <c:idx val="1"/>
          <c:order val="1"/>
          <c:tx>
            <c:strRef>
              <c:f>'Pivot Table'!$C$18:$C$19</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Table'!$C$20:$C$25</c:f>
              <c:numCache>
                <c:formatCode>General</c:formatCode>
                <c:ptCount val="5"/>
                <c:pt idx="0">
                  <c:v>1721</c:v>
                </c:pt>
                <c:pt idx="1">
                  <c:v>987</c:v>
                </c:pt>
                <c:pt idx="2">
                  <c:v>1158</c:v>
                </c:pt>
                <c:pt idx="3">
                  <c:v>619</c:v>
                </c:pt>
                <c:pt idx="4">
                  <c:v>600</c:v>
                </c:pt>
              </c:numCache>
            </c:numRef>
          </c:val>
          <c:extLst>
            <c:ext xmlns:c16="http://schemas.microsoft.com/office/drawing/2014/chart" uri="{C3380CC4-5D6E-409C-BE32-E72D297353CC}">
              <c16:uniqueId val="{00000009-7BCA-4B12-9081-E948537898AC}"/>
            </c:ext>
          </c:extLst>
        </c:ser>
        <c:ser>
          <c:idx val="2"/>
          <c:order val="2"/>
          <c:tx>
            <c:strRef>
              <c:f>'Pivot Table'!$D$18:$D$19</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Table'!$D$20:$D$25</c:f>
              <c:numCache>
                <c:formatCode>General</c:formatCode>
                <c:ptCount val="5"/>
                <c:pt idx="0">
                  <c:v>1433</c:v>
                </c:pt>
                <c:pt idx="1">
                  <c:v>433</c:v>
                </c:pt>
                <c:pt idx="2">
                  <c:v>1582</c:v>
                </c:pt>
                <c:pt idx="3">
                  <c:v>284</c:v>
                </c:pt>
                <c:pt idx="4">
                  <c:v>438</c:v>
                </c:pt>
              </c:numCache>
            </c:numRef>
          </c:val>
          <c:extLst>
            <c:ext xmlns:c16="http://schemas.microsoft.com/office/drawing/2014/chart" uri="{C3380CC4-5D6E-409C-BE32-E72D297353CC}">
              <c16:uniqueId val="{0000000A-7BCA-4B12-9081-E948537898AC}"/>
            </c:ext>
          </c:extLst>
        </c:ser>
        <c:ser>
          <c:idx val="3"/>
          <c:order val="3"/>
          <c:tx>
            <c:strRef>
              <c:f>'Pivot Table'!$E$18:$E$19</c:f>
              <c:strCache>
                <c:ptCount val="1"/>
                <c:pt idx="0">
                  <c:v>Furniture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Table'!$E$20:$E$25</c:f>
              <c:numCache>
                <c:formatCode>General</c:formatCode>
                <c:ptCount val="5"/>
                <c:pt idx="0">
                  <c:v>1501</c:v>
                </c:pt>
                <c:pt idx="1">
                  <c:v>335</c:v>
                </c:pt>
                <c:pt idx="2">
                  <c:v>1527</c:v>
                </c:pt>
                <c:pt idx="3">
                  <c:v>571</c:v>
                </c:pt>
                <c:pt idx="4">
                  <c:v>362</c:v>
                </c:pt>
              </c:numCache>
            </c:numRef>
          </c:val>
          <c:extLst>
            <c:ext xmlns:c16="http://schemas.microsoft.com/office/drawing/2014/chart" uri="{C3380CC4-5D6E-409C-BE32-E72D297353CC}">
              <c16:uniqueId val="{0000000B-7BCA-4B12-9081-E948537898AC}"/>
            </c:ext>
          </c:extLst>
        </c:ser>
        <c:ser>
          <c:idx val="4"/>
          <c:order val="4"/>
          <c:tx>
            <c:strRef>
              <c:f>'Pivot Table'!$F$18:$F$19</c:f>
              <c:strCache>
                <c:ptCount val="1"/>
                <c:pt idx="0">
                  <c:v>Grocery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Table'!$F$20:$F$25</c:f>
              <c:numCache>
                <c:formatCode>General</c:formatCode>
                <c:ptCount val="5"/>
                <c:pt idx="0">
                  <c:v>1200</c:v>
                </c:pt>
                <c:pt idx="1">
                  <c:v>521</c:v>
                </c:pt>
                <c:pt idx="2">
                  <c:v>1163</c:v>
                </c:pt>
                <c:pt idx="3">
                  <c:v>882</c:v>
                </c:pt>
                <c:pt idx="4">
                  <c:v>470</c:v>
                </c:pt>
              </c:numCache>
            </c:numRef>
          </c:val>
          <c:extLst>
            <c:ext xmlns:c16="http://schemas.microsoft.com/office/drawing/2014/chart" uri="{C3380CC4-5D6E-409C-BE32-E72D297353CC}">
              <c16:uniqueId val="{0000000C-7BCA-4B12-9081-E948537898AC}"/>
            </c:ext>
          </c:extLst>
        </c:ser>
        <c:dLbls>
          <c:showLegendKey val="0"/>
          <c:showVal val="0"/>
          <c:showCatName val="0"/>
          <c:showSerName val="0"/>
          <c:showPercent val="0"/>
          <c:showBubbleSize val="0"/>
        </c:dLbls>
        <c:gapWidth val="100"/>
        <c:overlap val="-24"/>
        <c:axId val="947627840"/>
        <c:axId val="947629088"/>
      </c:barChart>
      <c:catAx>
        <c:axId val="9476278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7629088"/>
        <c:crosses val="autoZero"/>
        <c:auto val="1"/>
        <c:lblAlgn val="ctr"/>
        <c:lblOffset val="100"/>
        <c:noMultiLvlLbl val="0"/>
      </c:catAx>
      <c:valAx>
        <c:axId val="947629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762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Table!PivotTable6</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Table'!$A$30:$A$35</c:f>
              <c:strCache>
                <c:ptCount val="5"/>
                <c:pt idx="0">
                  <c:v>Beauty</c:v>
                </c:pt>
                <c:pt idx="1">
                  <c:v>Clothing</c:v>
                </c:pt>
                <c:pt idx="2">
                  <c:v>Electronics</c:v>
                </c:pt>
                <c:pt idx="3">
                  <c:v>Furniture</c:v>
                </c:pt>
                <c:pt idx="4">
                  <c:v>Grocery</c:v>
                </c:pt>
              </c:strCache>
            </c:strRef>
          </c:cat>
          <c:val>
            <c:numRef>
              <c:f>'Pivot Table'!$B$30:$B$35</c:f>
              <c:numCache>
                <c:formatCode>General</c:formatCode>
                <c:ptCount val="5"/>
                <c:pt idx="0">
                  <c:v>204</c:v>
                </c:pt>
                <c:pt idx="1">
                  <c:v>219</c:v>
                </c:pt>
                <c:pt idx="2">
                  <c:v>193</c:v>
                </c:pt>
                <c:pt idx="3">
                  <c:v>190</c:v>
                </c:pt>
                <c:pt idx="4">
                  <c:v>206</c:v>
                </c:pt>
              </c:numCache>
            </c:numRef>
          </c:val>
          <c:extLst>
            <c:ext xmlns:c16="http://schemas.microsoft.com/office/drawing/2014/chart" uri="{C3380CC4-5D6E-409C-BE32-E72D297353CC}">
              <c16:uniqueId val="{00000000-A370-4CF1-AB79-1E5702492D62}"/>
            </c:ext>
          </c:extLst>
        </c:ser>
        <c:dLbls>
          <c:showLegendKey val="0"/>
          <c:showVal val="0"/>
          <c:showCatName val="0"/>
          <c:showSerName val="0"/>
          <c:showPercent val="0"/>
          <c:showBubbleSize val="0"/>
        </c:dLbls>
        <c:gapWidth val="100"/>
        <c:axId val="1094310208"/>
        <c:axId val="1094310624"/>
      </c:barChart>
      <c:catAx>
        <c:axId val="109431020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94310624"/>
        <c:crosses val="autoZero"/>
        <c:auto val="1"/>
        <c:lblAlgn val="ctr"/>
        <c:lblOffset val="100"/>
        <c:noMultiLvlLbl val="0"/>
      </c:catAx>
      <c:valAx>
        <c:axId val="1094310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9431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Table'!$L$33:$L$53</c:f>
              <c:strCache>
                <c:ptCount val="20"/>
                <c:pt idx="0">
                  <c:v>Bed</c:v>
                </c:pt>
                <c:pt idx="1">
                  <c:v>Cabinet</c:v>
                </c:pt>
                <c:pt idx="2">
                  <c:v>Camera</c:v>
                </c:pt>
                <c:pt idx="3">
                  <c:v>Chair</c:v>
                </c:pt>
                <c:pt idx="4">
                  <c:v>Dress</c:v>
                </c:pt>
                <c:pt idx="5">
                  <c:v>Headphones</c:v>
                </c:pt>
                <c:pt idx="6">
                  <c:v>Jeans</c:v>
                </c:pt>
                <c:pt idx="7">
                  <c:v>Laptop</c:v>
                </c:pt>
                <c:pt idx="8">
                  <c:v>Lipstick</c:v>
                </c:pt>
                <c:pt idx="9">
                  <c:v>Moisturizer</c:v>
                </c:pt>
                <c:pt idx="10">
                  <c:v>Oil Bottle</c:v>
                </c:pt>
                <c:pt idx="11">
                  <c:v>Perfume</c:v>
                </c:pt>
                <c:pt idx="12">
                  <c:v>Phone</c:v>
                </c:pt>
                <c:pt idx="13">
                  <c:v>Rice</c:v>
                </c:pt>
                <c:pt idx="14">
                  <c:v>Shampoo</c:v>
                </c:pt>
                <c:pt idx="15">
                  <c:v>Shirt</c:v>
                </c:pt>
                <c:pt idx="16">
                  <c:v>Sugar</c:v>
                </c:pt>
                <c:pt idx="17">
                  <c:v>Table</c:v>
                </c:pt>
                <c:pt idx="18">
                  <c:v>Tea</c:v>
                </c:pt>
                <c:pt idx="19">
                  <c:v>T-Shirt</c:v>
                </c:pt>
              </c:strCache>
            </c:strRef>
          </c:cat>
          <c:val>
            <c:numRef>
              <c:f>'Pivot Table'!$M$33:$M$53</c:f>
              <c:numCache>
                <c:formatCode>General</c:formatCode>
                <c:ptCount val="20"/>
                <c:pt idx="0">
                  <c:v>44</c:v>
                </c:pt>
                <c:pt idx="1">
                  <c:v>55</c:v>
                </c:pt>
                <c:pt idx="2">
                  <c:v>39</c:v>
                </c:pt>
                <c:pt idx="3">
                  <c:v>45</c:v>
                </c:pt>
                <c:pt idx="4">
                  <c:v>45</c:v>
                </c:pt>
                <c:pt idx="5">
                  <c:v>47</c:v>
                </c:pt>
                <c:pt idx="6">
                  <c:v>66</c:v>
                </c:pt>
                <c:pt idx="7">
                  <c:v>54</c:v>
                </c:pt>
                <c:pt idx="8">
                  <c:v>55</c:v>
                </c:pt>
                <c:pt idx="9">
                  <c:v>45</c:v>
                </c:pt>
                <c:pt idx="10">
                  <c:v>57</c:v>
                </c:pt>
                <c:pt idx="11">
                  <c:v>55</c:v>
                </c:pt>
                <c:pt idx="12">
                  <c:v>53</c:v>
                </c:pt>
                <c:pt idx="13">
                  <c:v>43</c:v>
                </c:pt>
                <c:pt idx="14">
                  <c:v>49</c:v>
                </c:pt>
                <c:pt idx="15">
                  <c:v>57</c:v>
                </c:pt>
                <c:pt idx="16">
                  <c:v>57</c:v>
                </c:pt>
                <c:pt idx="17">
                  <c:v>46</c:v>
                </c:pt>
                <c:pt idx="18">
                  <c:v>49</c:v>
                </c:pt>
                <c:pt idx="19">
                  <c:v>51</c:v>
                </c:pt>
              </c:numCache>
            </c:numRef>
          </c:val>
          <c:extLst>
            <c:ext xmlns:c16="http://schemas.microsoft.com/office/drawing/2014/chart" uri="{C3380CC4-5D6E-409C-BE32-E72D297353CC}">
              <c16:uniqueId val="{00000000-152B-47F3-97A3-8CBA843FA125}"/>
            </c:ext>
          </c:extLst>
        </c:ser>
        <c:dLbls>
          <c:showLegendKey val="0"/>
          <c:showVal val="0"/>
          <c:showCatName val="0"/>
          <c:showSerName val="0"/>
          <c:showPercent val="0"/>
          <c:showBubbleSize val="0"/>
        </c:dLbls>
        <c:gapWidth val="100"/>
        <c:overlap val="-24"/>
        <c:axId val="1323814736"/>
        <c:axId val="1323820976"/>
      </c:barChart>
      <c:catAx>
        <c:axId val="13238147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3820976"/>
        <c:crosses val="autoZero"/>
        <c:auto val="1"/>
        <c:lblAlgn val="ctr"/>
        <c:lblOffset val="100"/>
        <c:noMultiLvlLbl val="0"/>
      </c:catAx>
      <c:valAx>
        <c:axId val="1323820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381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 Table'!$M$2:$M$3</c:f>
              <c:strCache>
                <c:ptCount val="1"/>
                <c:pt idx="0">
                  <c:v>Card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24E-4B97-982A-56911FCFC0A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24E-4B97-982A-56911FCFC0A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24E-4B97-982A-56911FCFC0A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24E-4B97-982A-56911FCFC0A5}"/>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Table'!$L$4:$L$8</c:f>
              <c:strCache>
                <c:ptCount val="4"/>
                <c:pt idx="0">
                  <c:v>East</c:v>
                </c:pt>
                <c:pt idx="1">
                  <c:v>North</c:v>
                </c:pt>
                <c:pt idx="2">
                  <c:v>South</c:v>
                </c:pt>
                <c:pt idx="3">
                  <c:v>West</c:v>
                </c:pt>
              </c:strCache>
            </c:strRef>
          </c:cat>
          <c:val>
            <c:numRef>
              <c:f>'Pivot Table'!$M$4:$M$8</c:f>
              <c:numCache>
                <c:formatCode>General</c:formatCode>
                <c:ptCount val="4"/>
                <c:pt idx="0">
                  <c:v>255</c:v>
                </c:pt>
                <c:pt idx="1">
                  <c:v>1385</c:v>
                </c:pt>
                <c:pt idx="2">
                  <c:v>511</c:v>
                </c:pt>
                <c:pt idx="3">
                  <c:v>446</c:v>
                </c:pt>
              </c:numCache>
            </c:numRef>
          </c:val>
          <c:extLst>
            <c:ext xmlns:c16="http://schemas.microsoft.com/office/drawing/2014/chart" uri="{C3380CC4-5D6E-409C-BE32-E72D297353CC}">
              <c16:uniqueId val="{00000008-E24E-4B97-982A-56911FCFC0A5}"/>
            </c:ext>
          </c:extLst>
        </c:ser>
        <c:ser>
          <c:idx val="1"/>
          <c:order val="1"/>
          <c:tx>
            <c:strRef>
              <c:f>'Pivot Table'!$N$2:$N$3</c:f>
              <c:strCache>
                <c:ptCount val="1"/>
                <c:pt idx="0">
                  <c:v>Cash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A-E24E-4B97-982A-56911FCFC0A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C-E24E-4B97-982A-56911FCFC0A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E-E24E-4B97-982A-56911FCFC0A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0-E24E-4B97-982A-56911FCFC0A5}"/>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Table'!$L$4:$L$8</c:f>
              <c:strCache>
                <c:ptCount val="4"/>
                <c:pt idx="0">
                  <c:v>East</c:v>
                </c:pt>
                <c:pt idx="1">
                  <c:v>North</c:v>
                </c:pt>
                <c:pt idx="2">
                  <c:v>South</c:v>
                </c:pt>
                <c:pt idx="3">
                  <c:v>West</c:v>
                </c:pt>
              </c:strCache>
            </c:strRef>
          </c:cat>
          <c:val>
            <c:numRef>
              <c:f>'Pivot Table'!$N$4:$N$8</c:f>
              <c:numCache>
                <c:formatCode>General</c:formatCode>
                <c:ptCount val="4"/>
                <c:pt idx="0">
                  <c:v>221</c:v>
                </c:pt>
                <c:pt idx="1">
                  <c:v>1092</c:v>
                </c:pt>
                <c:pt idx="2">
                  <c:v>565</c:v>
                </c:pt>
                <c:pt idx="3">
                  <c:v>210</c:v>
                </c:pt>
              </c:numCache>
            </c:numRef>
          </c:val>
          <c:extLst>
            <c:ext xmlns:c16="http://schemas.microsoft.com/office/drawing/2014/chart" uri="{C3380CC4-5D6E-409C-BE32-E72D297353CC}">
              <c16:uniqueId val="{00000011-E24E-4B97-982A-56911FCFC0A5}"/>
            </c:ext>
          </c:extLst>
        </c:ser>
        <c:ser>
          <c:idx val="2"/>
          <c:order val="2"/>
          <c:tx>
            <c:strRef>
              <c:f>'Pivot Table'!$O$2:$O$3</c:f>
              <c:strCache>
                <c:ptCount val="1"/>
                <c:pt idx="0">
                  <c:v>Credit Card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E24E-4B97-982A-56911FCFC0A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E24E-4B97-982A-56911FCFC0A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E24E-4B97-982A-56911FCFC0A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9-E24E-4B97-982A-56911FCFC0A5}"/>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Table'!$L$4:$L$8</c:f>
              <c:strCache>
                <c:ptCount val="4"/>
                <c:pt idx="0">
                  <c:v>East</c:v>
                </c:pt>
                <c:pt idx="1">
                  <c:v>North</c:v>
                </c:pt>
                <c:pt idx="2">
                  <c:v>South</c:v>
                </c:pt>
                <c:pt idx="3">
                  <c:v>West</c:v>
                </c:pt>
              </c:strCache>
            </c:strRef>
          </c:cat>
          <c:val>
            <c:numRef>
              <c:f>'Pivot Table'!$O$4:$O$8</c:f>
              <c:numCache>
                <c:formatCode>General</c:formatCode>
                <c:ptCount val="4"/>
                <c:pt idx="0">
                  <c:v>620</c:v>
                </c:pt>
                <c:pt idx="1">
                  <c:v>2834</c:v>
                </c:pt>
                <c:pt idx="2">
                  <c:v>1298</c:v>
                </c:pt>
                <c:pt idx="3">
                  <c:v>404</c:v>
                </c:pt>
              </c:numCache>
            </c:numRef>
          </c:val>
          <c:extLst>
            <c:ext xmlns:c16="http://schemas.microsoft.com/office/drawing/2014/chart" uri="{C3380CC4-5D6E-409C-BE32-E72D297353CC}">
              <c16:uniqueId val="{0000001A-E24E-4B97-982A-56911FCFC0A5}"/>
            </c:ext>
          </c:extLst>
        </c:ser>
        <c:ser>
          <c:idx val="3"/>
          <c:order val="3"/>
          <c:tx>
            <c:strRef>
              <c:f>'Pivot Table'!$P$2:$P$3</c:f>
              <c:strCache>
                <c:ptCount val="1"/>
                <c:pt idx="0">
                  <c:v>Net Banking</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C-E24E-4B97-982A-56911FCFC0A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E-E24E-4B97-982A-56911FCFC0A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0-E24E-4B97-982A-56911FCFC0A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2-E24E-4B97-982A-56911FCFC0A5}"/>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Table'!$L$4:$L$8</c:f>
              <c:strCache>
                <c:ptCount val="4"/>
                <c:pt idx="0">
                  <c:v>East</c:v>
                </c:pt>
                <c:pt idx="1">
                  <c:v>North</c:v>
                </c:pt>
                <c:pt idx="2">
                  <c:v>South</c:v>
                </c:pt>
                <c:pt idx="3">
                  <c:v>West</c:v>
                </c:pt>
              </c:strCache>
            </c:strRef>
          </c:cat>
          <c:val>
            <c:numRef>
              <c:f>'Pivot Table'!$P$4:$P$8</c:f>
              <c:numCache>
                <c:formatCode>General</c:formatCode>
                <c:ptCount val="4"/>
                <c:pt idx="0">
                  <c:v>537</c:v>
                </c:pt>
                <c:pt idx="1">
                  <c:v>3100</c:v>
                </c:pt>
                <c:pt idx="2">
                  <c:v>1047</c:v>
                </c:pt>
                <c:pt idx="3">
                  <c:v>627</c:v>
                </c:pt>
              </c:numCache>
            </c:numRef>
          </c:val>
          <c:extLst>
            <c:ext xmlns:c16="http://schemas.microsoft.com/office/drawing/2014/chart" uri="{C3380CC4-5D6E-409C-BE32-E72D297353CC}">
              <c16:uniqueId val="{00000023-E24E-4B97-982A-56911FCFC0A5}"/>
            </c:ext>
          </c:extLst>
        </c:ser>
        <c:ser>
          <c:idx val="4"/>
          <c:order val="4"/>
          <c:tx>
            <c:strRef>
              <c:f>'Pivot Table'!$Q$2:$Q$3</c:f>
              <c:strCache>
                <c:ptCount val="1"/>
                <c:pt idx="0">
                  <c:v>UPI</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5-E24E-4B97-982A-56911FCFC0A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7-E24E-4B97-982A-56911FCFC0A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9-E24E-4B97-982A-56911FCFC0A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B-E24E-4B97-982A-56911FCFC0A5}"/>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Table'!$L$4:$L$8</c:f>
              <c:strCache>
                <c:ptCount val="4"/>
                <c:pt idx="0">
                  <c:v>East</c:v>
                </c:pt>
                <c:pt idx="1">
                  <c:v>North</c:v>
                </c:pt>
                <c:pt idx="2">
                  <c:v>South</c:v>
                </c:pt>
                <c:pt idx="3">
                  <c:v>West</c:v>
                </c:pt>
              </c:strCache>
            </c:strRef>
          </c:cat>
          <c:val>
            <c:numRef>
              <c:f>'Pivot Table'!$Q$4:$Q$8</c:f>
              <c:numCache>
                <c:formatCode>General</c:formatCode>
                <c:ptCount val="4"/>
                <c:pt idx="0">
                  <c:v>872</c:v>
                </c:pt>
                <c:pt idx="1">
                  <c:v>3854</c:v>
                </c:pt>
                <c:pt idx="2">
                  <c:v>1594</c:v>
                </c:pt>
                <c:pt idx="3">
                  <c:v>980</c:v>
                </c:pt>
              </c:numCache>
            </c:numRef>
          </c:val>
          <c:extLst>
            <c:ext xmlns:c16="http://schemas.microsoft.com/office/drawing/2014/chart" uri="{C3380CC4-5D6E-409C-BE32-E72D297353CC}">
              <c16:uniqueId val="{0000002C-E24E-4B97-982A-56911FCFC0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2">
          <a:lumMod val="15000"/>
          <a:lumOff val="85000"/>
        </a:schemeClr>
      </a:solidFill>
      <a:round/>
    </a:ln>
    <a:effectLst/>
  </c:spPr>
  <c:txPr>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Table'!$A$4:$A$8</c:f>
              <c:strCache>
                <c:ptCount val="4"/>
                <c:pt idx="0">
                  <c:v>East</c:v>
                </c:pt>
                <c:pt idx="1">
                  <c:v>West</c:v>
                </c:pt>
                <c:pt idx="2">
                  <c:v>South</c:v>
                </c:pt>
                <c:pt idx="3">
                  <c:v>North</c:v>
                </c:pt>
              </c:strCache>
            </c:strRef>
          </c:cat>
          <c:val>
            <c:numRef>
              <c:f>'Pivot Table'!$B$4:$B$8</c:f>
              <c:numCache>
                <c:formatCode>General</c:formatCode>
                <c:ptCount val="4"/>
                <c:pt idx="0">
                  <c:v>4609097</c:v>
                </c:pt>
                <c:pt idx="1">
                  <c:v>4695089</c:v>
                </c:pt>
                <c:pt idx="2">
                  <c:v>8935753</c:v>
                </c:pt>
                <c:pt idx="3">
                  <c:v>21496732</c:v>
                </c:pt>
              </c:numCache>
            </c:numRef>
          </c:val>
          <c:extLst>
            <c:ext xmlns:c16="http://schemas.microsoft.com/office/drawing/2014/chart" uri="{C3380CC4-5D6E-409C-BE32-E72D297353CC}">
              <c16:uniqueId val="{00000000-7D19-4A60-AED5-6097A9ADEA14}"/>
            </c:ext>
          </c:extLst>
        </c:ser>
        <c:dLbls>
          <c:showLegendKey val="0"/>
          <c:showVal val="0"/>
          <c:showCatName val="0"/>
          <c:showSerName val="0"/>
          <c:showPercent val="0"/>
          <c:showBubbleSize val="0"/>
        </c:dLbls>
        <c:gapWidth val="100"/>
        <c:overlap val="-24"/>
        <c:axId val="1201684704"/>
        <c:axId val="1201682208"/>
      </c:barChart>
      <c:catAx>
        <c:axId val="1201684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682208"/>
        <c:crosses val="autoZero"/>
        <c:auto val="1"/>
        <c:lblAlgn val="ctr"/>
        <c:lblOffset val="100"/>
        <c:noMultiLvlLbl val="0"/>
      </c:catAx>
      <c:valAx>
        <c:axId val="120168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6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Table!PivotTable3</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Table'!$B$18:$B$19</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Table'!$B$20:$B$25</c:f>
              <c:numCache>
                <c:formatCode>General</c:formatCode>
                <c:ptCount val="5"/>
                <c:pt idx="0">
                  <c:v>1849</c:v>
                </c:pt>
                <c:pt idx="1">
                  <c:v>550</c:v>
                </c:pt>
                <c:pt idx="2">
                  <c:v>1197</c:v>
                </c:pt>
                <c:pt idx="3">
                  <c:v>476</c:v>
                </c:pt>
                <c:pt idx="4">
                  <c:v>593</c:v>
                </c:pt>
              </c:numCache>
            </c:numRef>
          </c:val>
          <c:extLst>
            <c:ext xmlns:c16="http://schemas.microsoft.com/office/drawing/2014/chart" uri="{C3380CC4-5D6E-409C-BE32-E72D297353CC}">
              <c16:uniqueId val="{00000000-42F4-40FC-95B3-8196CD201A30}"/>
            </c:ext>
          </c:extLst>
        </c:ser>
        <c:ser>
          <c:idx val="1"/>
          <c:order val="1"/>
          <c:tx>
            <c:strRef>
              <c:f>'Pivot Table'!$C$18:$C$19</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Table'!$C$20:$C$25</c:f>
              <c:numCache>
                <c:formatCode>General</c:formatCode>
                <c:ptCount val="5"/>
                <c:pt idx="0">
                  <c:v>1721</c:v>
                </c:pt>
                <c:pt idx="1">
                  <c:v>987</c:v>
                </c:pt>
                <c:pt idx="2">
                  <c:v>1158</c:v>
                </c:pt>
                <c:pt idx="3">
                  <c:v>619</c:v>
                </c:pt>
                <c:pt idx="4">
                  <c:v>600</c:v>
                </c:pt>
              </c:numCache>
            </c:numRef>
          </c:val>
          <c:extLst>
            <c:ext xmlns:c16="http://schemas.microsoft.com/office/drawing/2014/chart" uri="{C3380CC4-5D6E-409C-BE32-E72D297353CC}">
              <c16:uniqueId val="{00000009-B29E-4FF1-8D99-1066BFF58A9D}"/>
            </c:ext>
          </c:extLst>
        </c:ser>
        <c:ser>
          <c:idx val="2"/>
          <c:order val="2"/>
          <c:tx>
            <c:strRef>
              <c:f>'Pivot Table'!$D$18:$D$19</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Table'!$D$20:$D$25</c:f>
              <c:numCache>
                <c:formatCode>General</c:formatCode>
                <c:ptCount val="5"/>
                <c:pt idx="0">
                  <c:v>1433</c:v>
                </c:pt>
                <c:pt idx="1">
                  <c:v>433</c:v>
                </c:pt>
                <c:pt idx="2">
                  <c:v>1582</c:v>
                </c:pt>
                <c:pt idx="3">
                  <c:v>284</c:v>
                </c:pt>
                <c:pt idx="4">
                  <c:v>438</c:v>
                </c:pt>
              </c:numCache>
            </c:numRef>
          </c:val>
          <c:extLst>
            <c:ext xmlns:c16="http://schemas.microsoft.com/office/drawing/2014/chart" uri="{C3380CC4-5D6E-409C-BE32-E72D297353CC}">
              <c16:uniqueId val="{0000000A-B29E-4FF1-8D99-1066BFF58A9D}"/>
            </c:ext>
          </c:extLst>
        </c:ser>
        <c:ser>
          <c:idx val="3"/>
          <c:order val="3"/>
          <c:tx>
            <c:strRef>
              <c:f>'Pivot Table'!$E$18:$E$19</c:f>
              <c:strCache>
                <c:ptCount val="1"/>
                <c:pt idx="0">
                  <c:v>Furniture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Table'!$E$20:$E$25</c:f>
              <c:numCache>
                <c:formatCode>General</c:formatCode>
                <c:ptCount val="5"/>
                <c:pt idx="0">
                  <c:v>1501</c:v>
                </c:pt>
                <c:pt idx="1">
                  <c:v>335</c:v>
                </c:pt>
                <c:pt idx="2">
                  <c:v>1527</c:v>
                </c:pt>
                <c:pt idx="3">
                  <c:v>571</c:v>
                </c:pt>
                <c:pt idx="4">
                  <c:v>362</c:v>
                </c:pt>
              </c:numCache>
            </c:numRef>
          </c:val>
          <c:extLst>
            <c:ext xmlns:c16="http://schemas.microsoft.com/office/drawing/2014/chart" uri="{C3380CC4-5D6E-409C-BE32-E72D297353CC}">
              <c16:uniqueId val="{0000000B-B29E-4FF1-8D99-1066BFF58A9D}"/>
            </c:ext>
          </c:extLst>
        </c:ser>
        <c:ser>
          <c:idx val="4"/>
          <c:order val="4"/>
          <c:tx>
            <c:strRef>
              <c:f>'Pivot Table'!$F$18:$F$19</c:f>
              <c:strCache>
                <c:ptCount val="1"/>
                <c:pt idx="0">
                  <c:v>Grocery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Table'!$A$20:$A$25</c:f>
              <c:strCache>
                <c:ptCount val="5"/>
                <c:pt idx="0">
                  <c:v>18-25</c:v>
                </c:pt>
                <c:pt idx="1">
                  <c:v>25-35</c:v>
                </c:pt>
                <c:pt idx="2">
                  <c:v>26-35</c:v>
                </c:pt>
                <c:pt idx="3">
                  <c:v>36-45</c:v>
                </c:pt>
                <c:pt idx="4">
                  <c:v>46-60</c:v>
                </c:pt>
              </c:strCache>
            </c:strRef>
          </c:cat>
          <c:val>
            <c:numRef>
              <c:f>'Pivot Table'!$F$20:$F$25</c:f>
              <c:numCache>
                <c:formatCode>General</c:formatCode>
                <c:ptCount val="5"/>
                <c:pt idx="0">
                  <c:v>1200</c:v>
                </c:pt>
                <c:pt idx="1">
                  <c:v>521</c:v>
                </c:pt>
                <c:pt idx="2">
                  <c:v>1163</c:v>
                </c:pt>
                <c:pt idx="3">
                  <c:v>882</c:v>
                </c:pt>
                <c:pt idx="4">
                  <c:v>470</c:v>
                </c:pt>
              </c:numCache>
            </c:numRef>
          </c:val>
          <c:extLst>
            <c:ext xmlns:c16="http://schemas.microsoft.com/office/drawing/2014/chart" uri="{C3380CC4-5D6E-409C-BE32-E72D297353CC}">
              <c16:uniqueId val="{0000000C-B29E-4FF1-8D99-1066BFF58A9D}"/>
            </c:ext>
          </c:extLst>
        </c:ser>
        <c:dLbls>
          <c:showLegendKey val="0"/>
          <c:showVal val="0"/>
          <c:showCatName val="0"/>
          <c:showSerName val="0"/>
          <c:showPercent val="0"/>
          <c:showBubbleSize val="0"/>
        </c:dLbls>
        <c:gapWidth val="100"/>
        <c:overlap val="-24"/>
        <c:axId val="947627840"/>
        <c:axId val="947629088"/>
      </c:barChart>
      <c:catAx>
        <c:axId val="947627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629088"/>
        <c:crosses val="autoZero"/>
        <c:auto val="1"/>
        <c:lblAlgn val="ctr"/>
        <c:lblOffset val="100"/>
        <c:noMultiLvlLbl val="0"/>
      </c:catAx>
      <c:valAx>
        <c:axId val="94762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62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Table!PivotTable6</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Table'!$A$30:$A$35</c:f>
              <c:strCache>
                <c:ptCount val="5"/>
                <c:pt idx="0">
                  <c:v>Beauty</c:v>
                </c:pt>
                <c:pt idx="1">
                  <c:v>Clothing</c:v>
                </c:pt>
                <c:pt idx="2">
                  <c:v>Electronics</c:v>
                </c:pt>
                <c:pt idx="3">
                  <c:v>Furniture</c:v>
                </c:pt>
                <c:pt idx="4">
                  <c:v>Grocery</c:v>
                </c:pt>
              </c:strCache>
            </c:strRef>
          </c:cat>
          <c:val>
            <c:numRef>
              <c:f>'Pivot Table'!$B$30:$B$35</c:f>
              <c:numCache>
                <c:formatCode>General</c:formatCode>
                <c:ptCount val="5"/>
                <c:pt idx="0">
                  <c:v>204</c:v>
                </c:pt>
                <c:pt idx="1">
                  <c:v>219</c:v>
                </c:pt>
                <c:pt idx="2">
                  <c:v>193</c:v>
                </c:pt>
                <c:pt idx="3">
                  <c:v>190</c:v>
                </c:pt>
                <c:pt idx="4">
                  <c:v>206</c:v>
                </c:pt>
              </c:numCache>
            </c:numRef>
          </c:val>
          <c:extLst>
            <c:ext xmlns:c16="http://schemas.microsoft.com/office/drawing/2014/chart" uri="{C3380CC4-5D6E-409C-BE32-E72D297353CC}">
              <c16:uniqueId val="{00000000-0155-4480-A5BE-BDAB315B31CF}"/>
            </c:ext>
          </c:extLst>
        </c:ser>
        <c:dLbls>
          <c:showLegendKey val="0"/>
          <c:showVal val="0"/>
          <c:showCatName val="0"/>
          <c:showSerName val="0"/>
          <c:showPercent val="0"/>
          <c:showBubbleSize val="0"/>
        </c:dLbls>
        <c:gapWidth val="100"/>
        <c:overlap val="-24"/>
        <c:axId val="1094310208"/>
        <c:axId val="1094310624"/>
      </c:barChart>
      <c:catAx>
        <c:axId val="1094310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0624"/>
        <c:crosses val="autoZero"/>
        <c:auto val="1"/>
        <c:lblAlgn val="ctr"/>
        <c:lblOffset val="100"/>
        <c:noMultiLvlLbl val="0"/>
      </c:catAx>
      <c:valAx>
        <c:axId val="109431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strRef>
              <c:f>'Pivot Table'!$M$2:$M$3</c:f>
              <c:strCache>
                <c:ptCount val="1"/>
                <c:pt idx="0">
                  <c:v>Card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CB-494D-819E-62A4174F3B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CB-494D-819E-62A4174F3B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CB-494D-819E-62A4174F3B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CB-494D-819E-62A4174F3B8D}"/>
              </c:ext>
            </c:extLst>
          </c:dPt>
          <c:cat>
            <c:strRef>
              <c:f>'Pivot Table'!$L$4:$L$8</c:f>
              <c:strCache>
                <c:ptCount val="4"/>
                <c:pt idx="0">
                  <c:v>East</c:v>
                </c:pt>
                <c:pt idx="1">
                  <c:v>North</c:v>
                </c:pt>
                <c:pt idx="2">
                  <c:v>South</c:v>
                </c:pt>
                <c:pt idx="3">
                  <c:v>West</c:v>
                </c:pt>
              </c:strCache>
            </c:strRef>
          </c:cat>
          <c:val>
            <c:numRef>
              <c:f>'Pivot Table'!$M$4:$M$8</c:f>
              <c:numCache>
                <c:formatCode>General</c:formatCode>
                <c:ptCount val="4"/>
                <c:pt idx="0">
                  <c:v>255</c:v>
                </c:pt>
                <c:pt idx="1">
                  <c:v>1385</c:v>
                </c:pt>
                <c:pt idx="2">
                  <c:v>511</c:v>
                </c:pt>
                <c:pt idx="3">
                  <c:v>446</c:v>
                </c:pt>
              </c:numCache>
            </c:numRef>
          </c:val>
          <c:extLst>
            <c:ext xmlns:c16="http://schemas.microsoft.com/office/drawing/2014/chart" uri="{C3380CC4-5D6E-409C-BE32-E72D297353CC}">
              <c16:uniqueId val="{00000000-6887-4C90-AC7C-AFD4BCC14B7B}"/>
            </c:ext>
          </c:extLst>
        </c:ser>
        <c:ser>
          <c:idx val="1"/>
          <c:order val="1"/>
          <c:tx>
            <c:strRef>
              <c:f>'Pivot Table'!$N$2:$N$3</c:f>
              <c:strCache>
                <c:ptCount val="1"/>
                <c:pt idx="0">
                  <c:v>Cash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14CB-494D-819E-62A4174F3B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14CB-494D-819E-62A4174F3B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14CB-494D-819E-62A4174F3B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14CB-494D-819E-62A4174F3B8D}"/>
              </c:ext>
            </c:extLst>
          </c:dPt>
          <c:cat>
            <c:strRef>
              <c:f>'Pivot Table'!$L$4:$L$8</c:f>
              <c:strCache>
                <c:ptCount val="4"/>
                <c:pt idx="0">
                  <c:v>East</c:v>
                </c:pt>
                <c:pt idx="1">
                  <c:v>North</c:v>
                </c:pt>
                <c:pt idx="2">
                  <c:v>South</c:v>
                </c:pt>
                <c:pt idx="3">
                  <c:v>West</c:v>
                </c:pt>
              </c:strCache>
            </c:strRef>
          </c:cat>
          <c:val>
            <c:numRef>
              <c:f>'Pivot Table'!$N$4:$N$8</c:f>
              <c:numCache>
                <c:formatCode>General</c:formatCode>
                <c:ptCount val="4"/>
                <c:pt idx="0">
                  <c:v>221</c:v>
                </c:pt>
                <c:pt idx="1">
                  <c:v>1092</c:v>
                </c:pt>
                <c:pt idx="2">
                  <c:v>565</c:v>
                </c:pt>
                <c:pt idx="3">
                  <c:v>210</c:v>
                </c:pt>
              </c:numCache>
            </c:numRef>
          </c:val>
          <c:extLst>
            <c:ext xmlns:c16="http://schemas.microsoft.com/office/drawing/2014/chart" uri="{C3380CC4-5D6E-409C-BE32-E72D297353CC}">
              <c16:uniqueId val="{00000006-6887-4C90-AC7C-AFD4BCC14B7B}"/>
            </c:ext>
          </c:extLst>
        </c:ser>
        <c:ser>
          <c:idx val="2"/>
          <c:order val="2"/>
          <c:tx>
            <c:strRef>
              <c:f>'Pivot Table'!$O$2:$O$3</c:f>
              <c:strCache>
                <c:ptCount val="1"/>
                <c:pt idx="0">
                  <c:v>Credit Card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4CB-494D-819E-62A4174F3B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4CB-494D-819E-62A4174F3B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4CB-494D-819E-62A4174F3B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4CB-494D-819E-62A4174F3B8D}"/>
              </c:ext>
            </c:extLst>
          </c:dPt>
          <c:cat>
            <c:strRef>
              <c:f>'Pivot Table'!$L$4:$L$8</c:f>
              <c:strCache>
                <c:ptCount val="4"/>
                <c:pt idx="0">
                  <c:v>East</c:v>
                </c:pt>
                <c:pt idx="1">
                  <c:v>North</c:v>
                </c:pt>
                <c:pt idx="2">
                  <c:v>South</c:v>
                </c:pt>
                <c:pt idx="3">
                  <c:v>West</c:v>
                </c:pt>
              </c:strCache>
            </c:strRef>
          </c:cat>
          <c:val>
            <c:numRef>
              <c:f>'Pivot Table'!$O$4:$O$8</c:f>
              <c:numCache>
                <c:formatCode>General</c:formatCode>
                <c:ptCount val="4"/>
                <c:pt idx="0">
                  <c:v>620</c:v>
                </c:pt>
                <c:pt idx="1">
                  <c:v>2834</c:v>
                </c:pt>
                <c:pt idx="2">
                  <c:v>1298</c:v>
                </c:pt>
                <c:pt idx="3">
                  <c:v>404</c:v>
                </c:pt>
              </c:numCache>
            </c:numRef>
          </c:val>
          <c:extLst>
            <c:ext xmlns:c16="http://schemas.microsoft.com/office/drawing/2014/chart" uri="{C3380CC4-5D6E-409C-BE32-E72D297353CC}">
              <c16:uniqueId val="{00000007-6887-4C90-AC7C-AFD4BCC14B7B}"/>
            </c:ext>
          </c:extLst>
        </c:ser>
        <c:ser>
          <c:idx val="3"/>
          <c:order val="3"/>
          <c:tx>
            <c:strRef>
              <c:f>'Pivot Table'!$P$2:$P$3</c:f>
              <c:strCache>
                <c:ptCount val="1"/>
                <c:pt idx="0">
                  <c:v>Net Banking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14CB-494D-819E-62A4174F3B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14CB-494D-819E-62A4174F3B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14CB-494D-819E-62A4174F3B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14CB-494D-819E-62A4174F3B8D}"/>
              </c:ext>
            </c:extLst>
          </c:dPt>
          <c:cat>
            <c:strRef>
              <c:f>'Pivot Table'!$L$4:$L$8</c:f>
              <c:strCache>
                <c:ptCount val="4"/>
                <c:pt idx="0">
                  <c:v>East</c:v>
                </c:pt>
                <c:pt idx="1">
                  <c:v>North</c:v>
                </c:pt>
                <c:pt idx="2">
                  <c:v>South</c:v>
                </c:pt>
                <c:pt idx="3">
                  <c:v>West</c:v>
                </c:pt>
              </c:strCache>
            </c:strRef>
          </c:cat>
          <c:val>
            <c:numRef>
              <c:f>'Pivot Table'!$P$4:$P$8</c:f>
              <c:numCache>
                <c:formatCode>General</c:formatCode>
                <c:ptCount val="4"/>
                <c:pt idx="0">
                  <c:v>537</c:v>
                </c:pt>
                <c:pt idx="1">
                  <c:v>3100</c:v>
                </c:pt>
                <c:pt idx="2">
                  <c:v>1047</c:v>
                </c:pt>
                <c:pt idx="3">
                  <c:v>627</c:v>
                </c:pt>
              </c:numCache>
            </c:numRef>
          </c:val>
          <c:extLst>
            <c:ext xmlns:c16="http://schemas.microsoft.com/office/drawing/2014/chart" uri="{C3380CC4-5D6E-409C-BE32-E72D297353CC}">
              <c16:uniqueId val="{00000008-6887-4C90-AC7C-AFD4BCC14B7B}"/>
            </c:ext>
          </c:extLst>
        </c:ser>
        <c:ser>
          <c:idx val="4"/>
          <c:order val="4"/>
          <c:tx>
            <c:strRef>
              <c:f>'Pivot Table'!$Q$2:$Q$3</c:f>
              <c:strCache>
                <c:ptCount val="1"/>
                <c:pt idx="0">
                  <c:v>UPI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14CB-494D-819E-62A4174F3B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14CB-494D-819E-62A4174F3B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14CB-494D-819E-62A4174F3B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14CB-494D-819E-62A4174F3B8D}"/>
              </c:ext>
            </c:extLst>
          </c:dPt>
          <c:cat>
            <c:strRef>
              <c:f>'Pivot Table'!$L$4:$L$8</c:f>
              <c:strCache>
                <c:ptCount val="4"/>
                <c:pt idx="0">
                  <c:v>East</c:v>
                </c:pt>
                <c:pt idx="1">
                  <c:v>North</c:v>
                </c:pt>
                <c:pt idx="2">
                  <c:v>South</c:v>
                </c:pt>
                <c:pt idx="3">
                  <c:v>West</c:v>
                </c:pt>
              </c:strCache>
            </c:strRef>
          </c:cat>
          <c:val>
            <c:numRef>
              <c:f>'Pivot Table'!$Q$4:$Q$8</c:f>
              <c:numCache>
                <c:formatCode>General</c:formatCode>
                <c:ptCount val="4"/>
                <c:pt idx="0">
                  <c:v>872</c:v>
                </c:pt>
                <c:pt idx="1">
                  <c:v>3854</c:v>
                </c:pt>
                <c:pt idx="2">
                  <c:v>1594</c:v>
                </c:pt>
                <c:pt idx="3">
                  <c:v>980</c:v>
                </c:pt>
              </c:numCache>
            </c:numRef>
          </c:val>
          <c:extLst>
            <c:ext xmlns:c16="http://schemas.microsoft.com/office/drawing/2014/chart" uri="{C3380CC4-5D6E-409C-BE32-E72D297353CC}">
              <c16:uniqueId val="{00000009-6887-4C90-AC7C-AFD4BCC14B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Project.xlsx]Pivot Table!PivotTable7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Table'!$M$32</c:f>
              <c:strCache>
                <c:ptCount val="1"/>
                <c:pt idx="0">
                  <c:v>Total</c:v>
                </c:pt>
              </c:strCache>
            </c:strRef>
          </c:tx>
          <c:spPr>
            <a:solidFill>
              <a:schemeClr val="accent1"/>
            </a:solidFill>
            <a:ln>
              <a:noFill/>
            </a:ln>
            <a:effectLst/>
          </c:spPr>
          <c:invertIfNegative val="0"/>
          <c:cat>
            <c:strRef>
              <c:f>'Pivot Table'!$L$33:$L$53</c:f>
              <c:strCache>
                <c:ptCount val="20"/>
                <c:pt idx="0">
                  <c:v>Bed</c:v>
                </c:pt>
                <c:pt idx="1">
                  <c:v>Cabinet</c:v>
                </c:pt>
                <c:pt idx="2">
                  <c:v>Camera</c:v>
                </c:pt>
                <c:pt idx="3">
                  <c:v>Chair</c:v>
                </c:pt>
                <c:pt idx="4">
                  <c:v>Dress</c:v>
                </c:pt>
                <c:pt idx="5">
                  <c:v>Headphones</c:v>
                </c:pt>
                <c:pt idx="6">
                  <c:v>Jeans</c:v>
                </c:pt>
                <c:pt idx="7">
                  <c:v>Laptop</c:v>
                </c:pt>
                <c:pt idx="8">
                  <c:v>Lipstick</c:v>
                </c:pt>
                <c:pt idx="9">
                  <c:v>Moisturizer</c:v>
                </c:pt>
                <c:pt idx="10">
                  <c:v>Oil Bottle</c:v>
                </c:pt>
                <c:pt idx="11">
                  <c:v>Perfume</c:v>
                </c:pt>
                <c:pt idx="12">
                  <c:v>Phone</c:v>
                </c:pt>
                <c:pt idx="13">
                  <c:v>Rice</c:v>
                </c:pt>
                <c:pt idx="14">
                  <c:v>Shampoo</c:v>
                </c:pt>
                <c:pt idx="15">
                  <c:v>Shirt</c:v>
                </c:pt>
                <c:pt idx="16">
                  <c:v>Sugar</c:v>
                </c:pt>
                <c:pt idx="17">
                  <c:v>Table</c:v>
                </c:pt>
                <c:pt idx="18">
                  <c:v>Tea</c:v>
                </c:pt>
                <c:pt idx="19">
                  <c:v>T-Shirt</c:v>
                </c:pt>
              </c:strCache>
            </c:strRef>
          </c:cat>
          <c:val>
            <c:numRef>
              <c:f>'Pivot Table'!$M$33:$M$53</c:f>
              <c:numCache>
                <c:formatCode>General</c:formatCode>
                <c:ptCount val="20"/>
                <c:pt idx="0">
                  <c:v>44</c:v>
                </c:pt>
                <c:pt idx="1">
                  <c:v>55</c:v>
                </c:pt>
                <c:pt idx="2">
                  <c:v>39</c:v>
                </c:pt>
                <c:pt idx="3">
                  <c:v>45</c:v>
                </c:pt>
                <c:pt idx="4">
                  <c:v>45</c:v>
                </c:pt>
                <c:pt idx="5">
                  <c:v>47</c:v>
                </c:pt>
                <c:pt idx="6">
                  <c:v>66</c:v>
                </c:pt>
                <c:pt idx="7">
                  <c:v>54</c:v>
                </c:pt>
                <c:pt idx="8">
                  <c:v>55</c:v>
                </c:pt>
                <c:pt idx="9">
                  <c:v>45</c:v>
                </c:pt>
                <c:pt idx="10">
                  <c:v>57</c:v>
                </c:pt>
                <c:pt idx="11">
                  <c:v>55</c:v>
                </c:pt>
                <c:pt idx="12">
                  <c:v>53</c:v>
                </c:pt>
                <c:pt idx="13">
                  <c:v>43</c:v>
                </c:pt>
                <c:pt idx="14">
                  <c:v>49</c:v>
                </c:pt>
                <c:pt idx="15">
                  <c:v>57</c:v>
                </c:pt>
                <c:pt idx="16">
                  <c:v>57</c:v>
                </c:pt>
                <c:pt idx="17">
                  <c:v>46</c:v>
                </c:pt>
                <c:pt idx="18">
                  <c:v>49</c:v>
                </c:pt>
                <c:pt idx="19">
                  <c:v>51</c:v>
                </c:pt>
              </c:numCache>
            </c:numRef>
          </c:val>
          <c:extLst>
            <c:ext xmlns:c16="http://schemas.microsoft.com/office/drawing/2014/chart" uri="{C3380CC4-5D6E-409C-BE32-E72D297353CC}">
              <c16:uniqueId val="{00000000-0550-4907-8DE3-E712E90F89EB}"/>
            </c:ext>
          </c:extLst>
        </c:ser>
        <c:dLbls>
          <c:showLegendKey val="0"/>
          <c:showVal val="0"/>
          <c:showCatName val="0"/>
          <c:showSerName val="0"/>
          <c:showPercent val="0"/>
          <c:showBubbleSize val="0"/>
        </c:dLbls>
        <c:gapWidth val="219"/>
        <c:overlap val="-27"/>
        <c:axId val="1323814736"/>
        <c:axId val="1323820976"/>
      </c:barChart>
      <c:catAx>
        <c:axId val="132381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20976"/>
        <c:crosses val="autoZero"/>
        <c:auto val="1"/>
        <c:lblAlgn val="ctr"/>
        <c:lblOffset val="100"/>
        <c:noMultiLvlLbl val="0"/>
      </c:catAx>
      <c:valAx>
        <c:axId val="132382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1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11</xdr:col>
      <xdr:colOff>457200</xdr:colOff>
      <xdr:row>2</xdr:row>
      <xdr:rowOff>28574</xdr:rowOff>
    </xdr:from>
    <xdr:to>
      <xdr:col>15</xdr:col>
      <xdr:colOff>428625</xdr:colOff>
      <xdr:row>10</xdr:row>
      <xdr:rowOff>180975</xdr:rowOff>
    </xdr:to>
    <mc:AlternateContent xmlns:mc="http://schemas.openxmlformats.org/markup-compatibility/2006" xmlns:a14="http://schemas.microsoft.com/office/drawing/2010/main">
      <mc:Choice Requires="a14">
        <xdr:graphicFrame macro="">
          <xdr:nvGraphicFramePr>
            <xdr:cNvPr id="13" name="Region 4">
              <a:extLst>
                <a:ext uri="{FF2B5EF4-FFF2-40B4-BE49-F238E27FC236}">
                  <a16:creationId xmlns:a16="http://schemas.microsoft.com/office/drawing/2014/main" id="{472A6495-0E03-4A28-9E10-BD12D0CA9A0A}"/>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553325" y="409574"/>
              <a:ext cx="2409825" cy="1676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0</xdr:row>
      <xdr:rowOff>9526</xdr:rowOff>
    </xdr:from>
    <xdr:to>
      <xdr:col>21</xdr:col>
      <xdr:colOff>0</xdr:colOff>
      <xdr:row>2</xdr:row>
      <xdr:rowOff>9525</xdr:rowOff>
    </xdr:to>
    <xdr:sp macro="" textlink="">
      <xdr:nvSpPr>
        <xdr:cNvPr id="2" name="TextBox 1">
          <a:extLst>
            <a:ext uri="{FF2B5EF4-FFF2-40B4-BE49-F238E27FC236}">
              <a16:creationId xmlns:a16="http://schemas.microsoft.com/office/drawing/2014/main" id="{4DB036ED-9160-4685-8287-348B67584716}"/>
            </a:ext>
          </a:extLst>
        </xdr:cNvPr>
        <xdr:cNvSpPr txBox="1"/>
      </xdr:nvSpPr>
      <xdr:spPr>
        <a:xfrm>
          <a:off x="9525" y="9526"/>
          <a:ext cx="13182600" cy="380999"/>
        </a:xfrm>
        <a:prstGeom prst="rect">
          <a:avLst/>
        </a:prstGeom>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2800" b="0" cap="none" spc="0">
              <a:ln w="0"/>
              <a:solidFill>
                <a:schemeClr val="accent1"/>
              </a:solidFill>
              <a:effectLst>
                <a:outerShdw blurRad="38100" dist="25400" dir="5400000" algn="ctr" rotWithShape="0">
                  <a:srgbClr val="6E747A">
                    <a:alpha val="43000"/>
                  </a:srgbClr>
                </a:outerShdw>
              </a:effectLst>
            </a:rPr>
            <a:t>REPORT</a:t>
          </a:r>
          <a:endParaRPr lang="en-IN" sz="2800" b="1">
            <a:solidFill>
              <a:schemeClr val="bg1"/>
            </a:solidFill>
          </a:endParaRPr>
        </a:p>
        <a:p>
          <a:endParaRPr lang="en-IN" sz="1100"/>
        </a:p>
      </xdr:txBody>
    </xdr:sp>
    <xdr:clientData/>
  </xdr:twoCellAnchor>
  <xdr:twoCellAnchor>
    <xdr:from>
      <xdr:col>0</xdr:col>
      <xdr:colOff>19048</xdr:colOff>
      <xdr:row>2</xdr:row>
      <xdr:rowOff>19050</xdr:rowOff>
    </xdr:from>
    <xdr:to>
      <xdr:col>3</xdr:col>
      <xdr:colOff>714375</xdr:colOff>
      <xdr:row>4</xdr:row>
      <xdr:rowOff>152399</xdr:rowOff>
    </xdr:to>
    <xdr:sp macro="" textlink="">
      <xdr:nvSpPr>
        <xdr:cNvPr id="4" name="Rectangle: Rounded Corners 3">
          <a:extLst>
            <a:ext uri="{FF2B5EF4-FFF2-40B4-BE49-F238E27FC236}">
              <a16:creationId xmlns:a16="http://schemas.microsoft.com/office/drawing/2014/main" id="{32CAEC6B-FE6B-4190-862A-8CE513830719}"/>
            </a:ext>
          </a:extLst>
        </xdr:cNvPr>
        <xdr:cNvSpPr/>
      </xdr:nvSpPr>
      <xdr:spPr>
        <a:xfrm>
          <a:off x="19048" y="400050"/>
          <a:ext cx="2524127" cy="514349"/>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1200" b="1">
              <a:solidFill>
                <a:schemeClr val="lt1"/>
              </a:solidFill>
              <a:effectLst/>
              <a:latin typeface="+mn-lt"/>
              <a:ea typeface="+mn-ea"/>
              <a:cs typeface="+mn-cs"/>
            </a:rPr>
            <a:t>Total</a:t>
          </a:r>
          <a:r>
            <a:rPr lang="en-IN" sz="1200" b="1" baseline="0">
              <a:solidFill>
                <a:schemeClr val="lt1"/>
              </a:solidFill>
              <a:effectLst/>
              <a:latin typeface="+mn-lt"/>
              <a:ea typeface="+mn-ea"/>
              <a:cs typeface="+mn-cs"/>
            </a:rPr>
            <a:t> Sales</a:t>
          </a:r>
          <a:endParaRPr lang="en-IN" sz="1100" b="1" baseline="0">
            <a:solidFill>
              <a:schemeClr val="lt1"/>
            </a:solidFill>
            <a:effectLst/>
            <a:latin typeface="+mn-lt"/>
            <a:ea typeface="+mn-ea"/>
            <a:cs typeface="+mn-cs"/>
          </a:endParaRPr>
        </a:p>
        <a:p>
          <a:pPr algn="ctr"/>
          <a:r>
            <a:rPr lang="en-IN" sz="1100" b="0" i="0">
              <a:solidFill>
                <a:schemeClr val="lt1"/>
              </a:solidFill>
              <a:effectLst/>
              <a:latin typeface="+mn-lt"/>
              <a:ea typeface="+mn-ea"/>
              <a:cs typeface="+mn-cs"/>
            </a:rPr>
            <a:t>₹ 3,97,36,671.00</a:t>
          </a:r>
          <a:endParaRPr lang="en-IN" sz="1100"/>
        </a:p>
      </xdr:txBody>
    </xdr:sp>
    <xdr:clientData/>
  </xdr:twoCellAnchor>
  <xdr:twoCellAnchor>
    <xdr:from>
      <xdr:col>3</xdr:col>
      <xdr:colOff>714376</xdr:colOff>
      <xdr:row>2</xdr:row>
      <xdr:rowOff>19049</xdr:rowOff>
    </xdr:from>
    <xdr:to>
      <xdr:col>7</xdr:col>
      <xdr:colOff>504825</xdr:colOff>
      <xdr:row>4</xdr:row>
      <xdr:rowOff>142874</xdr:rowOff>
    </xdr:to>
    <xdr:sp macro="" textlink="">
      <xdr:nvSpPr>
        <xdr:cNvPr id="7" name="Rectangle: Rounded Corners 6">
          <a:extLst>
            <a:ext uri="{FF2B5EF4-FFF2-40B4-BE49-F238E27FC236}">
              <a16:creationId xmlns:a16="http://schemas.microsoft.com/office/drawing/2014/main" id="{EFC8EFE8-F10F-4A98-A290-D440DF4A9D1C}"/>
            </a:ext>
          </a:extLst>
        </xdr:cNvPr>
        <xdr:cNvSpPr/>
      </xdr:nvSpPr>
      <xdr:spPr>
        <a:xfrm>
          <a:off x="2543176" y="400049"/>
          <a:ext cx="2619374" cy="50482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Orders</a:t>
          </a:r>
          <a:endParaRPr lang="en-IN" sz="1100" b="0" i="0" u="none" strike="noStrike">
            <a:solidFill>
              <a:schemeClr val="lt1"/>
            </a:solidFill>
            <a:effectLst/>
            <a:latin typeface="+mn-lt"/>
            <a:ea typeface="+mn-ea"/>
            <a:cs typeface="+mn-cs"/>
          </a:endParaRPr>
        </a:p>
        <a:p>
          <a:pPr algn="ctr"/>
          <a:r>
            <a:rPr lang="en-IN" sz="1100" b="0" i="0" u="none" strike="noStrike">
              <a:solidFill>
                <a:schemeClr val="lt1"/>
              </a:solidFill>
              <a:effectLst/>
              <a:latin typeface="+mn-lt"/>
              <a:ea typeface="+mn-ea"/>
              <a:cs typeface="+mn-cs"/>
            </a:rPr>
            <a:t>22452</a:t>
          </a:r>
          <a:endParaRPr lang="en-IN" sz="1100"/>
        </a:p>
      </xdr:txBody>
    </xdr:sp>
    <xdr:clientData/>
  </xdr:twoCellAnchor>
  <xdr:twoCellAnchor>
    <xdr:from>
      <xdr:col>7</xdr:col>
      <xdr:colOff>504825</xdr:colOff>
      <xdr:row>2</xdr:row>
      <xdr:rowOff>19050</xdr:rowOff>
    </xdr:from>
    <xdr:to>
      <xdr:col>11</xdr:col>
      <xdr:colOff>476251</xdr:colOff>
      <xdr:row>4</xdr:row>
      <xdr:rowOff>152399</xdr:rowOff>
    </xdr:to>
    <xdr:sp macro="" textlink="">
      <xdr:nvSpPr>
        <xdr:cNvPr id="8" name="Rectangle: Rounded Corners 7">
          <a:extLst>
            <a:ext uri="{FF2B5EF4-FFF2-40B4-BE49-F238E27FC236}">
              <a16:creationId xmlns:a16="http://schemas.microsoft.com/office/drawing/2014/main" id="{4999A6F4-DB01-4901-9B9B-34304607C1EC}"/>
            </a:ext>
          </a:extLst>
        </xdr:cNvPr>
        <xdr:cNvSpPr/>
      </xdr:nvSpPr>
      <xdr:spPr>
        <a:xfrm>
          <a:off x="5162550" y="400050"/>
          <a:ext cx="2409826" cy="514349"/>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Unique </a:t>
          </a:r>
          <a:r>
            <a:rPr lang="en-IN" sz="1200" b="1" i="0" u="none" strike="noStrike">
              <a:solidFill>
                <a:schemeClr val="lt1"/>
              </a:solidFill>
              <a:effectLst/>
              <a:latin typeface="+mn-lt"/>
              <a:ea typeface="+mn-ea"/>
              <a:cs typeface="+mn-cs"/>
            </a:rPr>
            <a:t>Cx</a:t>
          </a:r>
          <a:endParaRPr lang="en-IN" sz="1100" b="1" i="0" u="none" strike="noStrike">
            <a:solidFill>
              <a:schemeClr val="lt1"/>
            </a:solidFill>
            <a:effectLst/>
            <a:latin typeface="+mn-lt"/>
            <a:ea typeface="+mn-ea"/>
            <a:cs typeface="+mn-cs"/>
          </a:endParaRPr>
        </a:p>
        <a:p>
          <a:pPr algn="ctr"/>
          <a:r>
            <a:rPr lang="en-IN" sz="1100" b="0" i="0" u="none" strike="noStrike">
              <a:solidFill>
                <a:schemeClr val="lt1"/>
              </a:solidFill>
              <a:effectLst/>
              <a:latin typeface="+mn-lt"/>
              <a:ea typeface="+mn-ea"/>
              <a:cs typeface="+mn-cs"/>
            </a:rPr>
            <a:t>1012</a:t>
          </a:r>
          <a:r>
            <a:rPr lang="en-IN"/>
            <a:t> </a:t>
          </a:r>
          <a:endParaRPr lang="en-IN" sz="1100"/>
        </a:p>
      </xdr:txBody>
    </xdr:sp>
    <xdr:clientData/>
  </xdr:twoCellAnchor>
  <xdr:twoCellAnchor>
    <xdr:from>
      <xdr:col>0</xdr:col>
      <xdr:colOff>0</xdr:colOff>
      <xdr:row>4</xdr:row>
      <xdr:rowOff>152399</xdr:rowOff>
    </xdr:from>
    <xdr:to>
      <xdr:col>4</xdr:col>
      <xdr:colOff>295275</xdr:colOff>
      <xdr:row>17</xdr:row>
      <xdr:rowOff>133350</xdr:rowOff>
    </xdr:to>
    <xdr:graphicFrame macro="">
      <xdr:nvGraphicFramePr>
        <xdr:cNvPr id="9" name="Chart 8">
          <a:extLst>
            <a:ext uri="{FF2B5EF4-FFF2-40B4-BE49-F238E27FC236}">
              <a16:creationId xmlns:a16="http://schemas.microsoft.com/office/drawing/2014/main" id="{23950D12-4135-4DE4-A907-B48AF6A2B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295274</xdr:colOff>
      <xdr:row>4</xdr:row>
      <xdr:rowOff>152401</xdr:rowOff>
    </xdr:from>
    <xdr:to>
      <xdr:col>11</xdr:col>
      <xdr:colOff>476250</xdr:colOff>
      <xdr:row>17</xdr:row>
      <xdr:rowOff>123825</xdr:rowOff>
    </xdr:to>
    <xdr:graphicFrame macro="">
      <xdr:nvGraphicFramePr>
        <xdr:cNvPr id="10" name="Chart 9">
          <a:extLst>
            <a:ext uri="{FF2B5EF4-FFF2-40B4-BE49-F238E27FC236}">
              <a16:creationId xmlns:a16="http://schemas.microsoft.com/office/drawing/2014/main" id="{C7355DAE-6A94-46C4-A5CB-B398C0009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9526</xdr:colOff>
      <xdr:row>17</xdr:row>
      <xdr:rowOff>133350</xdr:rowOff>
    </xdr:from>
    <xdr:to>
      <xdr:col>6</xdr:col>
      <xdr:colOff>171451</xdr:colOff>
      <xdr:row>29</xdr:row>
      <xdr:rowOff>171450</xdr:rowOff>
    </xdr:to>
    <xdr:graphicFrame macro="">
      <xdr:nvGraphicFramePr>
        <xdr:cNvPr id="12" name="Chart 11">
          <a:extLst>
            <a:ext uri="{FF2B5EF4-FFF2-40B4-BE49-F238E27FC236}">
              <a16:creationId xmlns:a16="http://schemas.microsoft.com/office/drawing/2014/main" id="{362583DA-947A-4B4A-B53A-4A5733649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428626</xdr:colOff>
      <xdr:row>2</xdr:row>
      <xdr:rowOff>19050</xdr:rowOff>
    </xdr:from>
    <xdr:to>
      <xdr:col>20</xdr:col>
      <xdr:colOff>219076</xdr:colOff>
      <xdr:row>11</xdr:row>
      <xdr:rowOff>0</xdr:rowOff>
    </xdr:to>
    <mc:AlternateContent xmlns:mc="http://schemas.openxmlformats.org/markup-compatibility/2006" xmlns:a14="http://schemas.microsoft.com/office/drawing/2010/main">
      <mc:Choice Requires="a14">
        <xdr:graphicFrame macro="">
          <xdr:nvGraphicFramePr>
            <xdr:cNvPr id="14" name="Product_Category 2">
              <a:extLst>
                <a:ext uri="{FF2B5EF4-FFF2-40B4-BE49-F238E27FC236}">
                  <a16:creationId xmlns:a16="http://schemas.microsoft.com/office/drawing/2014/main" id="{CC1D4A1D-A289-46D6-B580-259F914118A9}"/>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0220326" y="400049"/>
              <a:ext cx="2581274"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457200</xdr:colOff>
      <xdr:row>10</xdr:row>
      <xdr:rowOff>171450</xdr:rowOff>
    </xdr:from>
    <xdr:to>
      <xdr:col>20</xdr:col>
      <xdr:colOff>200025</xdr:colOff>
      <xdr:row>29</xdr:row>
      <xdr:rowOff>171449</xdr:rowOff>
    </xdr:to>
    <xdr:graphicFrame macro="">
      <xdr:nvGraphicFramePr>
        <xdr:cNvPr id="15" name="Chart 14">
          <a:extLst>
            <a:ext uri="{FF2B5EF4-FFF2-40B4-BE49-F238E27FC236}">
              <a16:creationId xmlns:a16="http://schemas.microsoft.com/office/drawing/2014/main" id="{4E19D05F-C650-4894-91CB-8D44C640B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180976</xdr:colOff>
      <xdr:row>17</xdr:row>
      <xdr:rowOff>133350</xdr:rowOff>
    </xdr:from>
    <xdr:to>
      <xdr:col>11</xdr:col>
      <xdr:colOff>447676</xdr:colOff>
      <xdr:row>29</xdr:row>
      <xdr:rowOff>171451</xdr:rowOff>
    </xdr:to>
    <xdr:graphicFrame macro="">
      <xdr:nvGraphicFramePr>
        <xdr:cNvPr id="11" name="Chart 10">
          <a:extLst>
            <a:ext uri="{FF2B5EF4-FFF2-40B4-BE49-F238E27FC236}">
              <a16:creationId xmlns:a16="http://schemas.microsoft.com/office/drawing/2014/main" id="{8F774793-96AB-43BE-A0C9-216A9DA12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238125</xdr:colOff>
      <xdr:row>0</xdr:row>
      <xdr:rowOff>66675</xdr:rowOff>
    </xdr:from>
    <xdr:to>
      <xdr:col>8</xdr:col>
      <xdr:colOff>342900</xdr:colOff>
      <xdr:row>11</xdr:row>
      <xdr:rowOff>142875</xdr:rowOff>
    </xdr:to>
    <xdr:graphicFrame macro="">
      <xdr:nvGraphicFramePr>
        <xdr:cNvPr id="2" name="Chart 1">
          <a:extLst>
            <a:ext uri="{FF2B5EF4-FFF2-40B4-BE49-F238E27FC236}">
              <a16:creationId xmlns:a16="http://schemas.microsoft.com/office/drawing/2014/main" id="{8836B012-7016-4846-914A-F629E492F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42863</xdr:rowOff>
    </xdr:from>
    <xdr:to>
      <xdr:col>13</xdr:col>
      <xdr:colOff>200025</xdr:colOff>
      <xdr:row>26</xdr:row>
      <xdr:rowOff>66675</xdr:rowOff>
    </xdr:to>
    <xdr:graphicFrame macro="">
      <xdr:nvGraphicFramePr>
        <xdr:cNvPr id="3" name="Chart 2">
          <a:extLst>
            <a:ext uri="{FF2B5EF4-FFF2-40B4-BE49-F238E27FC236}">
              <a16:creationId xmlns:a16="http://schemas.microsoft.com/office/drawing/2014/main" id="{037CD202-47F7-44BC-A1BC-517B3DF7F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514349</xdr:colOff>
      <xdr:row>30</xdr:row>
      <xdr:rowOff>123825</xdr:rowOff>
    </xdr:from>
    <xdr:to>
      <xdr:col>9</xdr:col>
      <xdr:colOff>371475</xdr:colOff>
      <xdr:row>42</xdr:row>
      <xdr:rowOff>152400</xdr:rowOff>
    </xdr:to>
    <xdr:graphicFrame macro="">
      <xdr:nvGraphicFramePr>
        <xdr:cNvPr id="4" name="Chart 3">
          <a:extLst>
            <a:ext uri="{FF2B5EF4-FFF2-40B4-BE49-F238E27FC236}">
              <a16:creationId xmlns:a16="http://schemas.microsoft.com/office/drawing/2014/main" id="{7723F15E-1FF2-4BA8-93F0-F7B0DC462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552450</xdr:colOff>
      <xdr:row>8</xdr:row>
      <xdr:rowOff>185737</xdr:rowOff>
    </xdr:from>
    <xdr:to>
      <xdr:col>20</xdr:col>
      <xdr:colOff>104775</xdr:colOff>
      <xdr:row>19</xdr:row>
      <xdr:rowOff>95250</xdr:rowOff>
    </xdr:to>
    <xdr:graphicFrame macro="">
      <xdr:nvGraphicFramePr>
        <xdr:cNvPr id="5" name="Chart 4">
          <a:extLst>
            <a:ext uri="{FF2B5EF4-FFF2-40B4-BE49-F238E27FC236}">
              <a16:creationId xmlns:a16="http://schemas.microsoft.com/office/drawing/2014/main" id="{C6D73FA3-B657-4B60-B6C4-76BA3E027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20</xdr:row>
      <xdr:rowOff>0</xdr:rowOff>
    </xdr:from>
    <xdr:to>
      <xdr:col>16</xdr:col>
      <xdr:colOff>323850</xdr:colOff>
      <xdr:row>27</xdr:row>
      <xdr:rowOff>104775</xdr:rowOff>
    </xdr:to>
    <mc:AlternateContent xmlns:mc="http://schemas.openxmlformats.org/markup-compatibility/2006" xmlns:a14="http://schemas.microsoft.com/office/drawing/2010/main">
      <mc:Choice Requires="a14">
        <xdr:graphicFrame macro="">
          <xdr:nvGraphicFramePr>
            <xdr:cNvPr id="6" name="Region 3">
              <a:extLst>
                <a:ext uri="{FF2B5EF4-FFF2-40B4-BE49-F238E27FC236}">
                  <a16:creationId xmlns:a16="http://schemas.microsoft.com/office/drawing/2014/main" id="{54AD2B07-BF33-4D97-80C2-C189466A693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010775" y="381000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371475</xdr:colOff>
      <xdr:row>20</xdr:row>
      <xdr:rowOff>76201</xdr:rowOff>
    </xdr:from>
    <xdr:to>
      <xdr:col>19</xdr:col>
      <xdr:colOff>285750</xdr:colOff>
      <xdr:row>29</xdr:row>
      <xdr:rowOff>38100</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7A3C8179-67A7-4ACD-9255-C1E41BD7E43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220575" y="3886201"/>
              <a:ext cx="18288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895350</xdr:colOff>
      <xdr:row>27</xdr:row>
      <xdr:rowOff>138112</xdr:rowOff>
    </xdr:from>
    <xdr:to>
      <xdr:col>18</xdr:col>
      <xdr:colOff>1009650</xdr:colOff>
      <xdr:row>42</xdr:row>
      <xdr:rowOff>23812</xdr:rowOff>
    </xdr:to>
    <xdr:graphicFrame macro="">
      <xdr:nvGraphicFramePr>
        <xdr:cNvPr id="8" name="Chart 7">
          <a:extLst>
            <a:ext uri="{FF2B5EF4-FFF2-40B4-BE49-F238E27FC236}">
              <a16:creationId xmlns:a16="http://schemas.microsoft.com/office/drawing/2014/main" id="{A488C936-18BD-4FA5-9474-F22B66BE3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2.557036689817" createdVersion="7" refreshedVersion="7" minRefreshableVersion="3" recordCount="1012" xr:uid="{7DAE9BF7-7EFB-4776-B79C-BA4FAAB6C203}">
  <cacheSource type="worksheet">
    <worksheetSource name="Table13"/>
  </cacheSource>
  <cacheFields count="12">
    <cacheField name="Date" numFmtId="14">
      <sharedItems containsSemiMixedTypes="0" containsNonDate="0" containsDate="1" containsString="0" minDate="2024-01-01T00:00:00" maxDate="2024-12-31T00:00:00"/>
    </cacheField>
    <cacheField name="Invoice_ID" numFmtId="0">
      <sharedItems/>
    </cacheField>
    <cacheField name="Customer_Name" numFmtId="0">
      <sharedItems/>
    </cacheField>
    <cacheField name="Gender" numFmtId="0">
      <sharedItems/>
    </cacheField>
    <cacheField name="Age_Group" numFmtId="0">
      <sharedItems count="5">
        <s v="36-45"/>
        <s v="26-35"/>
        <s v="25-35"/>
        <s v="18-25"/>
        <s v="46-60"/>
      </sharedItems>
    </cacheField>
    <cacheField name="Product_Category" numFmtId="0">
      <sharedItems count="5">
        <s v="Electronics"/>
        <s v="Furniture"/>
        <s v="Grocery"/>
        <s v="Clothing"/>
        <s v="Beauty"/>
      </sharedItems>
    </cacheField>
    <cacheField name="Product_Name" numFmtId="0">
      <sharedItems count="20">
        <s v="Camera"/>
        <s v="Bed"/>
        <s v="Tea"/>
        <s v="T-Shirt"/>
        <s v="Oil Bottle"/>
        <s v="Jeans"/>
        <s v="Lipstick"/>
        <s v="Rice"/>
        <s v="Headphones"/>
        <s v="Chair"/>
        <s v="Table"/>
        <s v="Moisturizer"/>
        <s v="Dress"/>
        <s v="Perfume"/>
        <s v="Shampoo"/>
        <s v="Shirt"/>
        <s v="Laptop"/>
        <s v="Phone"/>
        <s v="Cabinet"/>
        <s v="Sugar"/>
      </sharedItems>
    </cacheField>
    <cacheField name="Units_Sold" numFmtId="0">
      <sharedItems containsSemiMixedTypes="0" containsString="0" containsNumber="1" containsInteger="1" minValue="0" maxValue="49"/>
    </cacheField>
    <cacheField name="Unit_Price" numFmtId="164">
      <sharedItems containsSemiMixedTypes="0" containsString="0" containsNumber="1" containsInteger="1" minValue="199" maxValue="3499"/>
    </cacheField>
    <cacheField name="Total_Sales" numFmtId="164">
      <sharedItems containsSemiMixedTypes="0" containsString="0" containsNumber="1" containsInteger="1" minValue="0" maxValue="171451"/>
    </cacheField>
    <cacheField name="Region" numFmtId="0">
      <sharedItems count="4">
        <s v="North"/>
        <s v="South"/>
        <s v="West"/>
        <s v="East"/>
      </sharedItems>
    </cacheField>
    <cacheField name="Payment_Mode" numFmtId="0">
      <sharedItems count="5">
        <s v="Net Banking"/>
        <s v="Credit Card"/>
        <s v="UPI"/>
        <s v="Cash"/>
        <s v="Card"/>
      </sharedItems>
    </cacheField>
  </cacheFields>
  <extLst>
    <ext xmlns:x14="http://schemas.microsoft.com/office/spreadsheetml/2009/9/main" uri="{725AE2AE-9491-48be-B2B4-4EB974FC3084}">
      <x14:pivotCacheDefinition pivotCacheId="1923550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
  <r>
    <d v="2024-06-08T00:00:00"/>
    <s v="INV1423"/>
    <s v="Cust_383"/>
    <s v="Female"/>
    <x v="0"/>
    <x v="0"/>
    <x v="0"/>
    <n v="8"/>
    <n v="1999"/>
    <n v="15992"/>
    <x v="0"/>
    <x v="0"/>
  </r>
  <r>
    <d v="2024-11-06T00:00:00"/>
    <s v="INV1653"/>
    <s v="Cust_157"/>
    <s v="Female"/>
    <x v="1"/>
    <x v="1"/>
    <x v="1"/>
    <n v="2"/>
    <n v="2999"/>
    <n v="5998"/>
    <x v="1"/>
    <x v="0"/>
  </r>
  <r>
    <d v="2024-05-31T00:00:00"/>
    <s v="INV1659"/>
    <s v="Cust_226"/>
    <s v="N/A"/>
    <x v="0"/>
    <x v="2"/>
    <x v="2"/>
    <n v="9"/>
    <n v="199"/>
    <n v="1791"/>
    <x v="1"/>
    <x v="1"/>
  </r>
  <r>
    <d v="2024-05-08T00:00:00"/>
    <s v="INV1828"/>
    <s v="Cust_352"/>
    <s v="N/A"/>
    <x v="2"/>
    <x v="3"/>
    <x v="3"/>
    <n v="3"/>
    <n v="3499"/>
    <n v="10497"/>
    <x v="1"/>
    <x v="0"/>
  </r>
  <r>
    <d v="2024-10-01T00:00:00"/>
    <s v="INV2124"/>
    <s v="Cust_399"/>
    <s v="Male"/>
    <x v="2"/>
    <x v="2"/>
    <x v="4"/>
    <n v="37"/>
    <n v="2999"/>
    <n v="110963"/>
    <x v="0"/>
    <x v="0"/>
  </r>
  <r>
    <d v="2024-11-12T00:00:00"/>
    <s v="INV2127"/>
    <s v="Cust_350"/>
    <s v="N/A"/>
    <x v="3"/>
    <x v="3"/>
    <x v="5"/>
    <n v="4"/>
    <n v="999"/>
    <n v="3996"/>
    <x v="0"/>
    <x v="2"/>
  </r>
  <r>
    <d v="2024-05-05T00:00:00"/>
    <s v="INV2169"/>
    <s v="Cust_228"/>
    <s v="N/A"/>
    <x v="1"/>
    <x v="4"/>
    <x v="6"/>
    <n v="6"/>
    <n v="499"/>
    <n v="2994"/>
    <x v="0"/>
    <x v="3"/>
  </r>
  <r>
    <d v="2024-05-26T00:00:00"/>
    <s v="INV2612"/>
    <s v="Cust_62"/>
    <s v="N/A"/>
    <x v="3"/>
    <x v="4"/>
    <x v="6"/>
    <n v="34"/>
    <n v="499"/>
    <n v="16966"/>
    <x v="0"/>
    <x v="0"/>
  </r>
  <r>
    <d v="2024-11-21T00:00:00"/>
    <s v="INV2647"/>
    <s v="Cust_100"/>
    <s v="Male"/>
    <x v="3"/>
    <x v="0"/>
    <x v="0"/>
    <n v="2"/>
    <n v="999"/>
    <n v="1998"/>
    <x v="2"/>
    <x v="3"/>
  </r>
  <r>
    <d v="2024-04-01T00:00:00"/>
    <s v="INV2771"/>
    <s v="Cust_285"/>
    <s v="Female"/>
    <x v="0"/>
    <x v="2"/>
    <x v="4"/>
    <n v="32"/>
    <n v="2999"/>
    <n v="95968"/>
    <x v="3"/>
    <x v="1"/>
  </r>
  <r>
    <d v="2024-02-13T00:00:00"/>
    <s v="INV2832"/>
    <s v="Cust_305"/>
    <s v="Female"/>
    <x v="1"/>
    <x v="2"/>
    <x v="7"/>
    <n v="25"/>
    <n v="3499"/>
    <n v="87475"/>
    <x v="1"/>
    <x v="2"/>
  </r>
  <r>
    <d v="2024-07-04T00:00:00"/>
    <s v="INV2876"/>
    <s v="Cust_19"/>
    <s v="Male"/>
    <x v="4"/>
    <x v="0"/>
    <x v="8"/>
    <n v="36"/>
    <n v="3499"/>
    <n v="125964"/>
    <x v="0"/>
    <x v="2"/>
  </r>
  <r>
    <d v="2024-05-13T00:00:00"/>
    <s v="INV3068"/>
    <s v="Cust_364"/>
    <s v="Female"/>
    <x v="0"/>
    <x v="1"/>
    <x v="9"/>
    <n v="3"/>
    <n v="1499"/>
    <n v="4497"/>
    <x v="0"/>
    <x v="2"/>
  </r>
  <r>
    <d v="2024-08-18T00:00:00"/>
    <s v="INV3266"/>
    <s v="Cust_397"/>
    <s v="Male"/>
    <x v="0"/>
    <x v="3"/>
    <x v="3"/>
    <n v="5"/>
    <n v="499"/>
    <n v="2495"/>
    <x v="0"/>
    <x v="2"/>
  </r>
  <r>
    <d v="2024-08-27T00:00:00"/>
    <s v="INV3442"/>
    <s v="Cust_211"/>
    <s v="Male"/>
    <x v="3"/>
    <x v="1"/>
    <x v="10"/>
    <n v="25"/>
    <n v="1499"/>
    <n v="37475"/>
    <x v="0"/>
    <x v="2"/>
  </r>
  <r>
    <d v="2024-01-23T00:00:00"/>
    <s v="INV3504"/>
    <s v="Cust_363"/>
    <s v="N/A"/>
    <x v="3"/>
    <x v="0"/>
    <x v="8"/>
    <n v="12"/>
    <n v="199"/>
    <n v="2388"/>
    <x v="0"/>
    <x v="4"/>
  </r>
  <r>
    <d v="2024-04-10T00:00:00"/>
    <s v="INV4335"/>
    <s v="Cust_128"/>
    <s v="Female"/>
    <x v="2"/>
    <x v="4"/>
    <x v="11"/>
    <n v="9"/>
    <n v="499"/>
    <n v="4491"/>
    <x v="0"/>
    <x v="0"/>
  </r>
  <r>
    <d v="2024-03-16T00:00:00"/>
    <s v="INV4475"/>
    <s v="Cust_335"/>
    <s v="Male"/>
    <x v="4"/>
    <x v="3"/>
    <x v="3"/>
    <n v="28"/>
    <n v="1499"/>
    <n v="41972"/>
    <x v="0"/>
    <x v="1"/>
  </r>
  <r>
    <d v="2024-10-26T00:00:00"/>
    <s v="INV4681"/>
    <s v="Cust_57"/>
    <s v="Male"/>
    <x v="4"/>
    <x v="1"/>
    <x v="10"/>
    <n v="48"/>
    <n v="199"/>
    <n v="9552"/>
    <x v="2"/>
    <x v="2"/>
  </r>
  <r>
    <d v="2024-06-28T00:00:00"/>
    <s v="INV4683"/>
    <s v="Cust_82"/>
    <s v="Male"/>
    <x v="2"/>
    <x v="3"/>
    <x v="5"/>
    <n v="23"/>
    <n v="2999"/>
    <n v="68977"/>
    <x v="2"/>
    <x v="2"/>
  </r>
  <r>
    <d v="2024-10-11T00:00:00"/>
    <s v="INV4727"/>
    <s v="Cust_392"/>
    <s v="N/A"/>
    <x v="0"/>
    <x v="3"/>
    <x v="3"/>
    <n v="25"/>
    <n v="1499"/>
    <n v="37475"/>
    <x v="2"/>
    <x v="4"/>
  </r>
  <r>
    <d v="2024-06-19T00:00:00"/>
    <s v="INV4750"/>
    <s v="Cust_316"/>
    <s v="Female"/>
    <x v="1"/>
    <x v="3"/>
    <x v="12"/>
    <n v="2"/>
    <n v="1499"/>
    <n v="2998"/>
    <x v="1"/>
    <x v="1"/>
  </r>
  <r>
    <d v="2024-10-18T00:00:00"/>
    <s v="INV4770"/>
    <s v="Cust_342"/>
    <s v="N/A"/>
    <x v="3"/>
    <x v="1"/>
    <x v="9"/>
    <n v="35"/>
    <n v="3499"/>
    <n v="122465"/>
    <x v="0"/>
    <x v="2"/>
  </r>
  <r>
    <d v="2024-05-18T00:00:00"/>
    <s v="INV4846"/>
    <s v="Cust_25"/>
    <s v="Female"/>
    <x v="2"/>
    <x v="4"/>
    <x v="13"/>
    <n v="45"/>
    <n v="999"/>
    <n v="44955"/>
    <x v="0"/>
    <x v="1"/>
  </r>
  <r>
    <d v="2024-01-05T00:00:00"/>
    <s v="INV5011"/>
    <s v="Cust_184"/>
    <s v="Female"/>
    <x v="2"/>
    <x v="3"/>
    <x v="12"/>
    <n v="46"/>
    <n v="999"/>
    <n v="45954"/>
    <x v="1"/>
    <x v="2"/>
  </r>
  <r>
    <d v="2024-09-25T00:00:00"/>
    <s v="INV5333"/>
    <s v="Cust_302"/>
    <s v="N/A"/>
    <x v="1"/>
    <x v="2"/>
    <x v="4"/>
    <n v="3"/>
    <n v="999"/>
    <n v="2997"/>
    <x v="0"/>
    <x v="4"/>
  </r>
  <r>
    <d v="2024-03-05T00:00:00"/>
    <s v="INV5334"/>
    <s v="Cust_306"/>
    <s v="Female"/>
    <x v="0"/>
    <x v="3"/>
    <x v="5"/>
    <n v="39"/>
    <n v="199"/>
    <n v="7761"/>
    <x v="0"/>
    <x v="2"/>
  </r>
  <r>
    <d v="2024-10-29T00:00:00"/>
    <s v="INV5342"/>
    <s v="Cust_201"/>
    <s v="Female"/>
    <x v="3"/>
    <x v="4"/>
    <x v="13"/>
    <n v="29"/>
    <n v="499"/>
    <n v="14471"/>
    <x v="1"/>
    <x v="2"/>
  </r>
  <r>
    <d v="2024-08-10T00:00:00"/>
    <s v="INV5345"/>
    <s v="Cust_59"/>
    <s v="Male"/>
    <x v="3"/>
    <x v="4"/>
    <x v="14"/>
    <n v="21"/>
    <n v="199"/>
    <n v="4179"/>
    <x v="0"/>
    <x v="2"/>
  </r>
  <r>
    <d v="2024-11-13T00:00:00"/>
    <s v="INV5371"/>
    <s v="Cust_82"/>
    <s v="Female"/>
    <x v="2"/>
    <x v="3"/>
    <x v="15"/>
    <n v="2"/>
    <n v="999"/>
    <n v="1998"/>
    <x v="0"/>
    <x v="1"/>
  </r>
  <r>
    <d v="2024-08-17T00:00:00"/>
    <s v="INV5422"/>
    <s v="Cust_39"/>
    <s v="Female"/>
    <x v="3"/>
    <x v="0"/>
    <x v="16"/>
    <n v="0"/>
    <n v="499"/>
    <n v="0"/>
    <x v="3"/>
    <x v="3"/>
  </r>
  <r>
    <d v="2024-06-18T00:00:00"/>
    <s v="INV5526"/>
    <s v="Cust_270"/>
    <s v="Female"/>
    <x v="3"/>
    <x v="4"/>
    <x v="14"/>
    <n v="9"/>
    <n v="2999"/>
    <n v="26991"/>
    <x v="0"/>
    <x v="2"/>
  </r>
  <r>
    <d v="2024-07-10T00:00:00"/>
    <s v="INV5557"/>
    <s v="Cust_382"/>
    <s v="N/A"/>
    <x v="1"/>
    <x v="2"/>
    <x v="2"/>
    <n v="39"/>
    <n v="999"/>
    <n v="38961"/>
    <x v="0"/>
    <x v="1"/>
  </r>
  <r>
    <d v="2024-12-16T00:00:00"/>
    <s v="INV5835"/>
    <s v="Cust_159"/>
    <s v="N/A"/>
    <x v="3"/>
    <x v="2"/>
    <x v="7"/>
    <n v="4"/>
    <n v="1999"/>
    <n v="7996"/>
    <x v="3"/>
    <x v="4"/>
  </r>
  <r>
    <d v="2024-04-22T00:00:00"/>
    <s v="INV5861"/>
    <s v="Cust_376"/>
    <s v="Male"/>
    <x v="3"/>
    <x v="3"/>
    <x v="12"/>
    <n v="42"/>
    <n v="499"/>
    <n v="20958"/>
    <x v="2"/>
    <x v="0"/>
  </r>
  <r>
    <d v="2024-02-24T00:00:00"/>
    <s v="INV5920"/>
    <s v="Cust_291"/>
    <s v="Male"/>
    <x v="1"/>
    <x v="1"/>
    <x v="9"/>
    <n v="12"/>
    <n v="1999"/>
    <n v="23988"/>
    <x v="1"/>
    <x v="1"/>
  </r>
  <r>
    <d v="2024-07-19T00:00:00"/>
    <s v="INV5978"/>
    <s v="Cust_285"/>
    <s v="N/A"/>
    <x v="1"/>
    <x v="0"/>
    <x v="17"/>
    <n v="35"/>
    <n v="199"/>
    <n v="6965"/>
    <x v="0"/>
    <x v="4"/>
  </r>
  <r>
    <d v="2024-06-18T00:00:00"/>
    <s v="INV6038"/>
    <s v="Cust_37"/>
    <s v="Male"/>
    <x v="0"/>
    <x v="4"/>
    <x v="13"/>
    <n v="36"/>
    <n v="499"/>
    <n v="17964"/>
    <x v="0"/>
    <x v="2"/>
  </r>
  <r>
    <d v="2024-11-17T00:00:00"/>
    <s v="INV6280"/>
    <s v="Cust_69"/>
    <s v="Male"/>
    <x v="4"/>
    <x v="2"/>
    <x v="7"/>
    <n v="9"/>
    <n v="2499"/>
    <n v="22491"/>
    <x v="0"/>
    <x v="0"/>
  </r>
  <r>
    <d v="2024-06-08T00:00:00"/>
    <s v="INV6464"/>
    <s v="Cust_231"/>
    <s v="Female"/>
    <x v="3"/>
    <x v="1"/>
    <x v="9"/>
    <n v="46"/>
    <n v="999"/>
    <n v="45954"/>
    <x v="2"/>
    <x v="2"/>
  </r>
  <r>
    <d v="2024-12-07T00:00:00"/>
    <s v="INV6881"/>
    <s v="Cust_371"/>
    <s v="Female"/>
    <x v="1"/>
    <x v="1"/>
    <x v="18"/>
    <n v="11"/>
    <n v="3499"/>
    <n v="38489"/>
    <x v="0"/>
    <x v="2"/>
  </r>
  <r>
    <d v="2024-07-20T00:00:00"/>
    <s v="INV6977"/>
    <s v="Cust_340"/>
    <s v="N/A"/>
    <x v="1"/>
    <x v="0"/>
    <x v="17"/>
    <n v="48"/>
    <n v="3499"/>
    <n v="167952"/>
    <x v="3"/>
    <x v="4"/>
  </r>
  <r>
    <d v="2024-12-11T00:00:00"/>
    <s v="INV7071"/>
    <s v="Cust_229"/>
    <s v="Female"/>
    <x v="3"/>
    <x v="1"/>
    <x v="18"/>
    <n v="33"/>
    <n v="1999"/>
    <n v="65967"/>
    <x v="3"/>
    <x v="2"/>
  </r>
  <r>
    <d v="2024-12-22T00:00:00"/>
    <s v="INV7209"/>
    <s v="Cust_96"/>
    <s v="Female"/>
    <x v="3"/>
    <x v="0"/>
    <x v="0"/>
    <n v="46"/>
    <n v="3499"/>
    <n v="160954"/>
    <x v="0"/>
    <x v="4"/>
  </r>
  <r>
    <d v="2024-05-28T00:00:00"/>
    <s v="INV7211"/>
    <s v="Cust_107"/>
    <s v="Male"/>
    <x v="3"/>
    <x v="2"/>
    <x v="4"/>
    <n v="40"/>
    <n v="1845"/>
    <n v="73800"/>
    <x v="0"/>
    <x v="1"/>
  </r>
  <r>
    <d v="2024-05-24T00:00:00"/>
    <s v="INV7232"/>
    <s v="Cust_159"/>
    <s v="Female"/>
    <x v="3"/>
    <x v="2"/>
    <x v="7"/>
    <n v="4"/>
    <n v="499"/>
    <n v="1996"/>
    <x v="0"/>
    <x v="0"/>
  </r>
  <r>
    <d v="2024-07-08T00:00:00"/>
    <s v="INV7267"/>
    <s v="Cust_25"/>
    <s v="Male"/>
    <x v="2"/>
    <x v="1"/>
    <x v="9"/>
    <n v="48"/>
    <n v="1499"/>
    <n v="71952"/>
    <x v="1"/>
    <x v="2"/>
  </r>
  <r>
    <d v="2024-09-09T00:00:00"/>
    <s v="INV7311"/>
    <s v="Cust_354"/>
    <s v="Male"/>
    <x v="4"/>
    <x v="2"/>
    <x v="19"/>
    <n v="4"/>
    <n v="1999"/>
    <n v="7996"/>
    <x v="2"/>
    <x v="1"/>
  </r>
  <r>
    <d v="2024-02-04T00:00:00"/>
    <s v="INV7484"/>
    <s v="Cust_13"/>
    <s v="Male"/>
    <x v="1"/>
    <x v="2"/>
    <x v="19"/>
    <n v="7"/>
    <n v="2999"/>
    <n v="20993"/>
    <x v="1"/>
    <x v="3"/>
  </r>
  <r>
    <d v="2024-08-27T00:00:00"/>
    <s v="INV7658"/>
    <s v="Cust_183"/>
    <s v="Male"/>
    <x v="1"/>
    <x v="1"/>
    <x v="10"/>
    <n v="5"/>
    <n v="1499"/>
    <n v="7495"/>
    <x v="1"/>
    <x v="2"/>
  </r>
  <r>
    <d v="2024-07-24T00:00:00"/>
    <s v="INV7797"/>
    <s v="Cust_399"/>
    <s v="Female"/>
    <x v="4"/>
    <x v="3"/>
    <x v="3"/>
    <n v="26"/>
    <n v="499"/>
    <n v="12974"/>
    <x v="0"/>
    <x v="4"/>
  </r>
  <r>
    <d v="2024-12-11T00:00:00"/>
    <s v="INV7807"/>
    <s v="Cust_224"/>
    <s v="Female"/>
    <x v="4"/>
    <x v="2"/>
    <x v="2"/>
    <n v="27"/>
    <n v="2499"/>
    <n v="67473"/>
    <x v="1"/>
    <x v="3"/>
  </r>
  <r>
    <d v="2024-08-17T00:00:00"/>
    <s v="INV7912"/>
    <s v="Cust_390"/>
    <s v="N/A"/>
    <x v="1"/>
    <x v="0"/>
    <x v="8"/>
    <n v="48"/>
    <n v="199"/>
    <n v="9552"/>
    <x v="1"/>
    <x v="3"/>
  </r>
  <r>
    <d v="2024-04-21T00:00:00"/>
    <s v="INV7939"/>
    <s v="Cust_236"/>
    <s v="Male"/>
    <x v="3"/>
    <x v="1"/>
    <x v="18"/>
    <n v="28"/>
    <n v="1999"/>
    <n v="55972"/>
    <x v="0"/>
    <x v="2"/>
  </r>
  <r>
    <d v="2024-10-15T00:00:00"/>
    <s v="INV8025"/>
    <s v="Cust_178"/>
    <s v="Male"/>
    <x v="1"/>
    <x v="0"/>
    <x v="17"/>
    <n v="25"/>
    <n v="1878"/>
    <n v="46950"/>
    <x v="0"/>
    <x v="0"/>
  </r>
  <r>
    <d v="2024-01-05T00:00:00"/>
    <s v="INV8239"/>
    <s v="Cust_12"/>
    <s v="N/A"/>
    <x v="1"/>
    <x v="4"/>
    <x v="6"/>
    <n v="40"/>
    <n v="199"/>
    <n v="7960"/>
    <x v="1"/>
    <x v="2"/>
  </r>
  <r>
    <d v="2024-08-27T00:00:00"/>
    <s v="INV8373"/>
    <s v="Cust_117"/>
    <s v="N/A"/>
    <x v="2"/>
    <x v="3"/>
    <x v="5"/>
    <n v="23"/>
    <n v="999"/>
    <n v="22977"/>
    <x v="0"/>
    <x v="0"/>
  </r>
  <r>
    <d v="2024-10-30T00:00:00"/>
    <s v="INV8381"/>
    <s v="Cust_137"/>
    <s v="Female"/>
    <x v="2"/>
    <x v="2"/>
    <x v="4"/>
    <n v="25"/>
    <n v="1499"/>
    <n v="37475"/>
    <x v="1"/>
    <x v="4"/>
  </r>
  <r>
    <d v="2024-04-12T00:00:00"/>
    <s v="INV8451"/>
    <s v="Cust_208"/>
    <s v="Female"/>
    <x v="4"/>
    <x v="4"/>
    <x v="6"/>
    <n v="42"/>
    <n v="999"/>
    <n v="41958"/>
    <x v="0"/>
    <x v="1"/>
  </r>
  <r>
    <d v="2024-10-28T00:00:00"/>
    <s v="INV8749"/>
    <s v="Cust_202"/>
    <s v="Male"/>
    <x v="1"/>
    <x v="2"/>
    <x v="19"/>
    <n v="35"/>
    <n v="3499"/>
    <n v="122465"/>
    <x v="1"/>
    <x v="0"/>
  </r>
  <r>
    <d v="2024-11-21T00:00:00"/>
    <s v="INV8956"/>
    <s v="Cust_61"/>
    <s v="Female"/>
    <x v="4"/>
    <x v="3"/>
    <x v="5"/>
    <n v="14"/>
    <n v="199"/>
    <n v="2786"/>
    <x v="3"/>
    <x v="3"/>
  </r>
  <r>
    <d v="2024-06-11T00:00:00"/>
    <s v="INV9004"/>
    <s v="Cust_19"/>
    <s v="Male"/>
    <x v="4"/>
    <x v="2"/>
    <x v="19"/>
    <n v="17"/>
    <n v="1845"/>
    <n v="31365"/>
    <x v="1"/>
    <x v="4"/>
  </r>
  <r>
    <d v="2024-11-14T00:00:00"/>
    <s v="INV9056"/>
    <s v="Cust_318"/>
    <s v="N/A"/>
    <x v="4"/>
    <x v="4"/>
    <x v="6"/>
    <n v="13"/>
    <n v="3499"/>
    <n v="45487"/>
    <x v="1"/>
    <x v="1"/>
  </r>
  <r>
    <d v="2024-04-18T00:00:00"/>
    <s v="INV9702"/>
    <s v="Cust_171"/>
    <s v="N/A"/>
    <x v="4"/>
    <x v="4"/>
    <x v="14"/>
    <n v="20"/>
    <n v="2999"/>
    <n v="59980"/>
    <x v="2"/>
    <x v="2"/>
  </r>
  <r>
    <d v="2024-09-12T00:00:00"/>
    <s v="INV9751"/>
    <s v="Cust_163"/>
    <s v="Male"/>
    <x v="3"/>
    <x v="4"/>
    <x v="14"/>
    <n v="28"/>
    <n v="499"/>
    <n v="13972"/>
    <x v="2"/>
    <x v="1"/>
  </r>
  <r>
    <d v="2024-06-18T00:00:00"/>
    <s v="INV9785"/>
    <s v="Cust_261"/>
    <s v="N/A"/>
    <x v="1"/>
    <x v="1"/>
    <x v="18"/>
    <n v="15"/>
    <n v="2999"/>
    <n v="44985"/>
    <x v="0"/>
    <x v="1"/>
  </r>
  <r>
    <d v="2024-11-03T00:00:00"/>
    <s v="INV9837"/>
    <s v="Cust_14"/>
    <s v="Female"/>
    <x v="4"/>
    <x v="2"/>
    <x v="4"/>
    <n v="5"/>
    <n v="1999"/>
    <n v="9995"/>
    <x v="3"/>
    <x v="4"/>
  </r>
  <r>
    <d v="2024-10-29T00:00:00"/>
    <s v="INV1006"/>
    <s v="Cust_232"/>
    <s v="N/A"/>
    <x v="3"/>
    <x v="1"/>
    <x v="10"/>
    <n v="45"/>
    <n v="2499"/>
    <n v="112455"/>
    <x v="0"/>
    <x v="1"/>
  </r>
  <r>
    <d v="2024-02-15T00:00:00"/>
    <s v="INV1009"/>
    <s v="Cust_269"/>
    <s v="Female"/>
    <x v="0"/>
    <x v="1"/>
    <x v="10"/>
    <n v="20"/>
    <n v="1838"/>
    <n v="36760"/>
    <x v="1"/>
    <x v="1"/>
  </r>
  <r>
    <d v="2024-09-10T00:00:00"/>
    <s v="INV1018"/>
    <s v="Cust_332"/>
    <s v="Male"/>
    <x v="3"/>
    <x v="3"/>
    <x v="15"/>
    <n v="48"/>
    <n v="499"/>
    <n v="23952"/>
    <x v="1"/>
    <x v="2"/>
  </r>
  <r>
    <d v="2024-04-09T00:00:00"/>
    <s v="INV1027"/>
    <s v="Cust_109"/>
    <s v="Female"/>
    <x v="0"/>
    <x v="1"/>
    <x v="10"/>
    <n v="3"/>
    <n v="2999"/>
    <n v="8997"/>
    <x v="1"/>
    <x v="2"/>
  </r>
  <r>
    <d v="2024-01-13T00:00:00"/>
    <s v="INV1035"/>
    <s v="Cust_195"/>
    <s v="Female"/>
    <x v="3"/>
    <x v="1"/>
    <x v="18"/>
    <n v="2"/>
    <n v="999"/>
    <n v="1998"/>
    <x v="0"/>
    <x v="2"/>
  </r>
  <r>
    <d v="2024-11-01T00:00:00"/>
    <s v="INV1042"/>
    <s v="Cust_56"/>
    <s v="Male"/>
    <x v="2"/>
    <x v="3"/>
    <x v="15"/>
    <n v="19"/>
    <n v="499"/>
    <n v="9481"/>
    <x v="1"/>
    <x v="0"/>
  </r>
  <r>
    <d v="2024-10-15T00:00:00"/>
    <s v="INV1043"/>
    <s v="Cust_157"/>
    <s v="Female"/>
    <x v="1"/>
    <x v="1"/>
    <x v="18"/>
    <n v="21"/>
    <n v="3499"/>
    <n v="73479"/>
    <x v="0"/>
    <x v="1"/>
  </r>
  <r>
    <d v="2024-02-10T00:00:00"/>
    <s v="INV1053"/>
    <s v="Cust_84"/>
    <s v="N/A"/>
    <x v="2"/>
    <x v="3"/>
    <x v="15"/>
    <n v="33"/>
    <n v="199"/>
    <n v="6567"/>
    <x v="3"/>
    <x v="4"/>
  </r>
  <r>
    <d v="2024-06-11T00:00:00"/>
    <s v="INV1058"/>
    <s v="Cust_376"/>
    <s v="Male"/>
    <x v="0"/>
    <x v="2"/>
    <x v="2"/>
    <n v="9"/>
    <n v="3499"/>
    <n v="31491"/>
    <x v="0"/>
    <x v="1"/>
  </r>
  <r>
    <d v="2024-07-19T00:00:00"/>
    <s v="INV1090"/>
    <s v="Cust_341"/>
    <s v="N/A"/>
    <x v="0"/>
    <x v="4"/>
    <x v="14"/>
    <n v="29"/>
    <n v="499"/>
    <n v="14471"/>
    <x v="0"/>
    <x v="3"/>
  </r>
  <r>
    <d v="2024-09-18T00:00:00"/>
    <s v="INV1106"/>
    <s v="Cust_29"/>
    <s v="N/A"/>
    <x v="1"/>
    <x v="1"/>
    <x v="9"/>
    <n v="37"/>
    <n v="1999"/>
    <n v="73963"/>
    <x v="0"/>
    <x v="2"/>
  </r>
  <r>
    <d v="2024-12-07T00:00:00"/>
    <s v="INV1117"/>
    <s v="Cust_224"/>
    <s v="N/A"/>
    <x v="1"/>
    <x v="1"/>
    <x v="10"/>
    <n v="35"/>
    <n v="2999"/>
    <n v="104965"/>
    <x v="0"/>
    <x v="2"/>
  </r>
  <r>
    <d v="2024-08-18T00:00:00"/>
    <s v="INV1128"/>
    <s v="Cust_340"/>
    <s v="Male"/>
    <x v="3"/>
    <x v="1"/>
    <x v="9"/>
    <n v="10"/>
    <n v="2499"/>
    <n v="24990"/>
    <x v="1"/>
    <x v="2"/>
  </r>
  <r>
    <d v="2024-01-21T00:00:00"/>
    <s v="INV1132"/>
    <s v="Cust_149"/>
    <s v="Male"/>
    <x v="3"/>
    <x v="0"/>
    <x v="16"/>
    <n v="16"/>
    <n v="2999"/>
    <n v="47984"/>
    <x v="0"/>
    <x v="4"/>
  </r>
  <r>
    <d v="2024-07-05T00:00:00"/>
    <s v="INV1152"/>
    <s v="Cust_147"/>
    <s v="Male"/>
    <x v="3"/>
    <x v="0"/>
    <x v="8"/>
    <n v="9"/>
    <n v="3499"/>
    <n v="31491"/>
    <x v="2"/>
    <x v="2"/>
  </r>
  <r>
    <d v="2024-12-10T00:00:00"/>
    <s v="INV1158"/>
    <s v="Cust_153"/>
    <s v="Male"/>
    <x v="1"/>
    <x v="1"/>
    <x v="10"/>
    <n v="38"/>
    <n v="2499"/>
    <n v="94962"/>
    <x v="1"/>
    <x v="2"/>
  </r>
  <r>
    <d v="2024-11-17T00:00:00"/>
    <s v="INV1166"/>
    <s v="Cust_150"/>
    <s v="Male"/>
    <x v="0"/>
    <x v="2"/>
    <x v="19"/>
    <n v="0"/>
    <n v="2499"/>
    <n v="0"/>
    <x v="0"/>
    <x v="0"/>
  </r>
  <r>
    <d v="2024-01-04T00:00:00"/>
    <s v="INV1188"/>
    <s v="Cust_289"/>
    <s v="Male"/>
    <x v="3"/>
    <x v="4"/>
    <x v="11"/>
    <n v="25"/>
    <n v="199"/>
    <n v="4975"/>
    <x v="0"/>
    <x v="4"/>
  </r>
  <r>
    <d v="2024-07-12T00:00:00"/>
    <s v="INV1200"/>
    <s v="Cust_340"/>
    <s v="Female"/>
    <x v="3"/>
    <x v="4"/>
    <x v="13"/>
    <n v="5"/>
    <n v="199"/>
    <n v="995"/>
    <x v="2"/>
    <x v="0"/>
  </r>
  <r>
    <d v="2024-02-14T00:00:00"/>
    <s v="INV1207"/>
    <s v="Cust_378"/>
    <s v="Male"/>
    <x v="0"/>
    <x v="2"/>
    <x v="4"/>
    <n v="36"/>
    <n v="999"/>
    <n v="35964"/>
    <x v="0"/>
    <x v="0"/>
  </r>
  <r>
    <d v="2024-04-05T00:00:00"/>
    <s v="INV1224"/>
    <s v="Cust_357"/>
    <s v="Female"/>
    <x v="3"/>
    <x v="0"/>
    <x v="17"/>
    <n v="24"/>
    <n v="1499"/>
    <n v="35976"/>
    <x v="1"/>
    <x v="2"/>
  </r>
  <r>
    <d v="2024-01-13T00:00:00"/>
    <s v="INV1228"/>
    <s v="Cust_2"/>
    <s v="Male"/>
    <x v="3"/>
    <x v="1"/>
    <x v="1"/>
    <n v="44"/>
    <n v="1999"/>
    <n v="87956"/>
    <x v="0"/>
    <x v="1"/>
  </r>
  <r>
    <d v="2024-05-21T00:00:00"/>
    <s v="INV1231"/>
    <s v="Cust_80"/>
    <s v="Male"/>
    <x v="3"/>
    <x v="0"/>
    <x v="16"/>
    <n v="19"/>
    <n v="499"/>
    <n v="9481"/>
    <x v="3"/>
    <x v="2"/>
  </r>
  <r>
    <d v="2024-10-10T00:00:00"/>
    <s v="INV1241"/>
    <s v="Cust_330"/>
    <s v="Female"/>
    <x v="2"/>
    <x v="0"/>
    <x v="16"/>
    <n v="15"/>
    <n v="2499"/>
    <n v="37485"/>
    <x v="1"/>
    <x v="3"/>
  </r>
  <r>
    <d v="2024-05-23T00:00:00"/>
    <s v="INV1251"/>
    <s v="Cust_86"/>
    <s v="Male"/>
    <x v="1"/>
    <x v="0"/>
    <x v="16"/>
    <n v="14"/>
    <n v="1878"/>
    <n v="26292"/>
    <x v="2"/>
    <x v="1"/>
  </r>
  <r>
    <d v="2024-03-10T00:00:00"/>
    <s v="INV1282"/>
    <s v="Cust_193"/>
    <s v="Male"/>
    <x v="1"/>
    <x v="4"/>
    <x v="11"/>
    <n v="45"/>
    <n v="499"/>
    <n v="22455"/>
    <x v="0"/>
    <x v="2"/>
  </r>
  <r>
    <d v="2024-11-01T00:00:00"/>
    <s v="INV1317"/>
    <s v="Cust_159"/>
    <s v="N/A"/>
    <x v="4"/>
    <x v="1"/>
    <x v="1"/>
    <n v="24"/>
    <n v="199"/>
    <n v="4776"/>
    <x v="0"/>
    <x v="3"/>
  </r>
  <r>
    <d v="2024-11-06T00:00:00"/>
    <s v="INV1319"/>
    <s v="Cust_121"/>
    <s v="Male"/>
    <x v="3"/>
    <x v="2"/>
    <x v="2"/>
    <n v="13"/>
    <n v="3499"/>
    <n v="45487"/>
    <x v="3"/>
    <x v="4"/>
  </r>
  <r>
    <d v="2024-09-14T00:00:00"/>
    <s v="INV1320"/>
    <s v="Cust_342"/>
    <s v="Male"/>
    <x v="3"/>
    <x v="4"/>
    <x v="6"/>
    <n v="7"/>
    <n v="199"/>
    <n v="1393"/>
    <x v="3"/>
    <x v="2"/>
  </r>
  <r>
    <d v="2024-05-15T00:00:00"/>
    <s v="INV1333"/>
    <s v="Cust_73"/>
    <s v="Male"/>
    <x v="0"/>
    <x v="1"/>
    <x v="18"/>
    <n v="6"/>
    <n v="1999"/>
    <n v="11994"/>
    <x v="1"/>
    <x v="2"/>
  </r>
  <r>
    <d v="2024-12-20T00:00:00"/>
    <s v="INV1339"/>
    <s v="Cust_222"/>
    <s v="Male"/>
    <x v="3"/>
    <x v="3"/>
    <x v="15"/>
    <n v="30"/>
    <n v="2999"/>
    <n v="89970"/>
    <x v="0"/>
    <x v="4"/>
  </r>
  <r>
    <d v="2024-09-09T00:00:00"/>
    <s v="INV1344"/>
    <s v="Cust_328"/>
    <s v="Male"/>
    <x v="3"/>
    <x v="3"/>
    <x v="5"/>
    <n v="31"/>
    <n v="1624"/>
    <n v="50344"/>
    <x v="0"/>
    <x v="4"/>
  </r>
  <r>
    <d v="2024-10-06T00:00:00"/>
    <s v="INV1349"/>
    <s v="Cust_260"/>
    <s v="Female"/>
    <x v="1"/>
    <x v="3"/>
    <x v="5"/>
    <n v="34"/>
    <n v="1499"/>
    <n v="50966"/>
    <x v="0"/>
    <x v="1"/>
  </r>
  <r>
    <d v="2024-02-23T00:00:00"/>
    <s v="INV1359"/>
    <s v="Cust_282"/>
    <s v="Female"/>
    <x v="3"/>
    <x v="4"/>
    <x v="11"/>
    <n v="11"/>
    <n v="3499"/>
    <n v="38489"/>
    <x v="1"/>
    <x v="2"/>
  </r>
  <r>
    <d v="2024-09-29T00:00:00"/>
    <s v="INV1387"/>
    <s v="Cust_193"/>
    <s v="N/A"/>
    <x v="1"/>
    <x v="1"/>
    <x v="1"/>
    <n v="33"/>
    <n v="2499"/>
    <n v="82467"/>
    <x v="1"/>
    <x v="3"/>
  </r>
  <r>
    <d v="2024-12-11T00:00:00"/>
    <s v="INV1400"/>
    <s v="Cust_20"/>
    <s v="Female"/>
    <x v="3"/>
    <x v="0"/>
    <x v="16"/>
    <n v="19"/>
    <n v="1999"/>
    <n v="37981"/>
    <x v="0"/>
    <x v="0"/>
  </r>
  <r>
    <d v="2024-11-21T00:00:00"/>
    <s v="INV1406"/>
    <s v="Cust_17"/>
    <s v="Male"/>
    <x v="1"/>
    <x v="0"/>
    <x v="8"/>
    <n v="42"/>
    <n v="1878"/>
    <n v="78876"/>
    <x v="1"/>
    <x v="0"/>
  </r>
  <r>
    <d v="2024-08-24T00:00:00"/>
    <s v="INV1409"/>
    <s v="Cust_148"/>
    <s v="Female"/>
    <x v="1"/>
    <x v="0"/>
    <x v="8"/>
    <n v="35"/>
    <n v="199"/>
    <n v="6965"/>
    <x v="2"/>
    <x v="2"/>
  </r>
  <r>
    <d v="2024-08-16T00:00:00"/>
    <s v="INV1410"/>
    <s v="Cust_175"/>
    <s v="Female"/>
    <x v="3"/>
    <x v="1"/>
    <x v="18"/>
    <n v="40"/>
    <n v="999"/>
    <n v="39960"/>
    <x v="0"/>
    <x v="0"/>
  </r>
  <r>
    <d v="2024-11-25T00:00:00"/>
    <s v="INV1420"/>
    <s v="Cust_39"/>
    <s v="N/A"/>
    <x v="4"/>
    <x v="3"/>
    <x v="3"/>
    <n v="24"/>
    <n v="2999"/>
    <n v="71976"/>
    <x v="0"/>
    <x v="0"/>
  </r>
  <r>
    <d v="2024-03-02T00:00:00"/>
    <s v="INV1434"/>
    <s v="Cust_375"/>
    <s v="Female"/>
    <x v="3"/>
    <x v="0"/>
    <x v="8"/>
    <n v="9"/>
    <n v="1499"/>
    <n v="13491"/>
    <x v="3"/>
    <x v="1"/>
  </r>
  <r>
    <d v="2024-12-01T00:00:00"/>
    <s v="INV1441"/>
    <s v="Cust_381"/>
    <s v="N/A"/>
    <x v="3"/>
    <x v="1"/>
    <x v="18"/>
    <n v="32"/>
    <n v="1999"/>
    <n v="63968"/>
    <x v="3"/>
    <x v="3"/>
  </r>
  <r>
    <d v="2024-11-11T00:00:00"/>
    <s v="INV1444"/>
    <s v="Cust_36"/>
    <s v="Female"/>
    <x v="3"/>
    <x v="2"/>
    <x v="19"/>
    <n v="43"/>
    <n v="3499"/>
    <n v="150457"/>
    <x v="0"/>
    <x v="0"/>
  </r>
  <r>
    <d v="2024-10-19T00:00:00"/>
    <s v="INV1452"/>
    <s v="Cust_319"/>
    <s v="Male"/>
    <x v="3"/>
    <x v="4"/>
    <x v="13"/>
    <n v="29"/>
    <n v="3499"/>
    <n v="101471"/>
    <x v="0"/>
    <x v="2"/>
  </r>
  <r>
    <d v="2024-01-09T00:00:00"/>
    <s v="INV1470"/>
    <s v="Cust_267"/>
    <s v="Male"/>
    <x v="3"/>
    <x v="2"/>
    <x v="2"/>
    <n v="27"/>
    <n v="3499"/>
    <n v="94473"/>
    <x v="1"/>
    <x v="1"/>
  </r>
  <r>
    <d v="2024-05-24T00:00:00"/>
    <s v="INV1472"/>
    <s v="Cust_84"/>
    <s v="Female"/>
    <x v="1"/>
    <x v="4"/>
    <x v="13"/>
    <n v="42"/>
    <n v="1999"/>
    <n v="83958"/>
    <x v="3"/>
    <x v="1"/>
  </r>
  <r>
    <d v="2024-05-05T00:00:00"/>
    <s v="INV1474"/>
    <s v="Cust_160"/>
    <s v="Male"/>
    <x v="1"/>
    <x v="3"/>
    <x v="3"/>
    <n v="26"/>
    <n v="1499"/>
    <n v="38974"/>
    <x v="0"/>
    <x v="2"/>
  </r>
  <r>
    <d v="2024-04-13T00:00:00"/>
    <s v="INV1475"/>
    <s v="Cust_152"/>
    <s v="Female"/>
    <x v="2"/>
    <x v="2"/>
    <x v="2"/>
    <n v="11"/>
    <n v="2499"/>
    <n v="27489"/>
    <x v="0"/>
    <x v="2"/>
  </r>
  <r>
    <d v="2024-10-09T00:00:00"/>
    <s v="INV1488"/>
    <s v="Cust_130"/>
    <s v="Male"/>
    <x v="2"/>
    <x v="3"/>
    <x v="5"/>
    <n v="5"/>
    <n v="999"/>
    <n v="4995"/>
    <x v="2"/>
    <x v="1"/>
  </r>
  <r>
    <d v="2024-05-25T00:00:00"/>
    <s v="INV1508"/>
    <s v="Cust_284"/>
    <s v="N/A"/>
    <x v="4"/>
    <x v="3"/>
    <x v="15"/>
    <n v="15"/>
    <n v="1999"/>
    <n v="29985"/>
    <x v="0"/>
    <x v="4"/>
  </r>
  <r>
    <d v="2024-01-26T00:00:00"/>
    <s v="INV1514"/>
    <s v="Cust_223"/>
    <s v="N/A"/>
    <x v="0"/>
    <x v="2"/>
    <x v="7"/>
    <n v="4"/>
    <n v="1845"/>
    <n v="7380"/>
    <x v="2"/>
    <x v="3"/>
  </r>
  <r>
    <d v="2024-05-07T00:00:00"/>
    <s v="INV1520"/>
    <s v="Cust_375"/>
    <s v="Female"/>
    <x v="2"/>
    <x v="4"/>
    <x v="13"/>
    <n v="14"/>
    <n v="999"/>
    <n v="13986"/>
    <x v="0"/>
    <x v="0"/>
  </r>
  <r>
    <d v="2024-12-26T00:00:00"/>
    <s v="INV1525"/>
    <s v="Cust_61"/>
    <s v="N/A"/>
    <x v="3"/>
    <x v="3"/>
    <x v="15"/>
    <n v="26"/>
    <n v="999"/>
    <n v="25974"/>
    <x v="0"/>
    <x v="2"/>
  </r>
  <r>
    <d v="2024-01-03T00:00:00"/>
    <s v="INV1534"/>
    <s v="Cust_60"/>
    <s v="N/A"/>
    <x v="3"/>
    <x v="2"/>
    <x v="19"/>
    <n v="1"/>
    <n v="199"/>
    <n v="199"/>
    <x v="1"/>
    <x v="1"/>
  </r>
  <r>
    <d v="2024-12-06T00:00:00"/>
    <s v="INV1536"/>
    <s v="Cust_81"/>
    <s v="Male"/>
    <x v="1"/>
    <x v="1"/>
    <x v="10"/>
    <n v="33"/>
    <n v="1999"/>
    <n v="65967"/>
    <x v="2"/>
    <x v="2"/>
  </r>
  <r>
    <d v="2024-11-23T00:00:00"/>
    <s v="INV1546"/>
    <s v="Cust_190"/>
    <s v="Female"/>
    <x v="1"/>
    <x v="3"/>
    <x v="12"/>
    <n v="7"/>
    <n v="999"/>
    <n v="6993"/>
    <x v="1"/>
    <x v="4"/>
  </r>
  <r>
    <d v="2024-02-27T00:00:00"/>
    <s v="INV1588"/>
    <s v="Cust_213"/>
    <s v="N/A"/>
    <x v="3"/>
    <x v="3"/>
    <x v="5"/>
    <n v="9"/>
    <n v="2999"/>
    <n v="26991"/>
    <x v="0"/>
    <x v="0"/>
  </r>
  <r>
    <d v="2024-01-10T00:00:00"/>
    <s v="INV1590"/>
    <s v="Cust_31"/>
    <s v="Female"/>
    <x v="3"/>
    <x v="4"/>
    <x v="11"/>
    <n v="46"/>
    <n v="1499"/>
    <n v="68954"/>
    <x v="0"/>
    <x v="0"/>
  </r>
  <r>
    <d v="2024-06-15T00:00:00"/>
    <s v="INV1601"/>
    <s v="Cust_344"/>
    <s v="Male"/>
    <x v="3"/>
    <x v="3"/>
    <x v="15"/>
    <n v="20"/>
    <n v="2999"/>
    <n v="59980"/>
    <x v="0"/>
    <x v="2"/>
  </r>
  <r>
    <d v="2024-12-07T00:00:00"/>
    <s v="INV1606"/>
    <s v="Cust_315"/>
    <s v="Male"/>
    <x v="3"/>
    <x v="0"/>
    <x v="0"/>
    <n v="44"/>
    <n v="499"/>
    <n v="21956"/>
    <x v="0"/>
    <x v="1"/>
  </r>
  <r>
    <d v="2024-03-03T00:00:00"/>
    <s v="INV1609"/>
    <s v="Cust_84"/>
    <s v="Female"/>
    <x v="1"/>
    <x v="1"/>
    <x v="1"/>
    <n v="0"/>
    <n v="2499"/>
    <n v="0"/>
    <x v="0"/>
    <x v="2"/>
  </r>
  <r>
    <d v="2024-07-09T00:00:00"/>
    <s v="INV1626"/>
    <s v="Cust_111"/>
    <s v="N/A"/>
    <x v="3"/>
    <x v="3"/>
    <x v="15"/>
    <n v="24"/>
    <n v="199"/>
    <n v="4776"/>
    <x v="1"/>
    <x v="1"/>
  </r>
  <r>
    <d v="2024-10-06T00:00:00"/>
    <s v="INV1634"/>
    <s v="Cust_169"/>
    <s v="Female"/>
    <x v="1"/>
    <x v="3"/>
    <x v="12"/>
    <n v="8"/>
    <n v="1624"/>
    <n v="12992"/>
    <x v="1"/>
    <x v="3"/>
  </r>
  <r>
    <d v="2024-05-26T00:00:00"/>
    <s v="INV1645"/>
    <s v="Cust_76"/>
    <s v="Female"/>
    <x v="3"/>
    <x v="4"/>
    <x v="14"/>
    <n v="32"/>
    <n v="499"/>
    <n v="15968"/>
    <x v="2"/>
    <x v="2"/>
  </r>
  <r>
    <d v="2024-05-06T00:00:00"/>
    <s v="INV1651"/>
    <s v="Cust_177"/>
    <s v="Female"/>
    <x v="3"/>
    <x v="4"/>
    <x v="14"/>
    <n v="18"/>
    <n v="1999"/>
    <n v="35982"/>
    <x v="2"/>
    <x v="4"/>
  </r>
  <r>
    <d v="2024-10-20T00:00:00"/>
    <s v="INV1672"/>
    <s v="Cust_133"/>
    <s v="Male"/>
    <x v="3"/>
    <x v="1"/>
    <x v="10"/>
    <n v="20"/>
    <n v="199"/>
    <n v="3980"/>
    <x v="3"/>
    <x v="2"/>
  </r>
  <r>
    <d v="2024-10-21T00:00:00"/>
    <s v="INV1685"/>
    <s v="Cust_208"/>
    <s v="Male"/>
    <x v="1"/>
    <x v="0"/>
    <x v="16"/>
    <n v="16"/>
    <n v="3499"/>
    <n v="55984"/>
    <x v="0"/>
    <x v="2"/>
  </r>
  <r>
    <d v="2024-09-17T00:00:00"/>
    <s v="INV1711"/>
    <s v="Cust_112"/>
    <s v="N/A"/>
    <x v="4"/>
    <x v="2"/>
    <x v="7"/>
    <n v="4"/>
    <n v="199"/>
    <n v="796"/>
    <x v="0"/>
    <x v="2"/>
  </r>
  <r>
    <d v="2024-02-22T00:00:00"/>
    <s v="INV1715"/>
    <s v="Cust_289"/>
    <s v="N/A"/>
    <x v="2"/>
    <x v="2"/>
    <x v="19"/>
    <n v="14"/>
    <n v="1845"/>
    <n v="25830"/>
    <x v="3"/>
    <x v="0"/>
  </r>
  <r>
    <d v="2024-10-27T00:00:00"/>
    <s v="INV1722"/>
    <s v="Cust_36"/>
    <s v="Male"/>
    <x v="0"/>
    <x v="0"/>
    <x v="0"/>
    <n v="1"/>
    <n v="199"/>
    <n v="199"/>
    <x v="0"/>
    <x v="0"/>
  </r>
  <r>
    <d v="2024-06-28T00:00:00"/>
    <s v="INV1727"/>
    <s v="Cust_336"/>
    <s v="Female"/>
    <x v="0"/>
    <x v="3"/>
    <x v="5"/>
    <n v="15"/>
    <n v="199"/>
    <n v="2985"/>
    <x v="3"/>
    <x v="2"/>
  </r>
  <r>
    <d v="2024-02-25T00:00:00"/>
    <s v="INV1742"/>
    <s v="Cust_29"/>
    <s v="N/A"/>
    <x v="3"/>
    <x v="2"/>
    <x v="7"/>
    <n v="20"/>
    <n v="2999"/>
    <n v="59980"/>
    <x v="3"/>
    <x v="1"/>
  </r>
  <r>
    <d v="2024-08-31T00:00:00"/>
    <s v="INV1745"/>
    <s v="Cust_93"/>
    <s v="N/A"/>
    <x v="3"/>
    <x v="3"/>
    <x v="12"/>
    <n v="2"/>
    <n v="2499"/>
    <n v="4998"/>
    <x v="0"/>
    <x v="1"/>
  </r>
  <r>
    <d v="2024-10-30T00:00:00"/>
    <s v="INV1750"/>
    <s v="Cust_302"/>
    <s v="Male"/>
    <x v="1"/>
    <x v="3"/>
    <x v="12"/>
    <n v="5"/>
    <n v="199"/>
    <n v="995"/>
    <x v="0"/>
    <x v="4"/>
  </r>
  <r>
    <d v="2024-12-30T00:00:00"/>
    <s v="INV1753"/>
    <s v="Cust_84"/>
    <s v="Female"/>
    <x v="3"/>
    <x v="2"/>
    <x v="4"/>
    <n v="35"/>
    <n v="199"/>
    <n v="6965"/>
    <x v="0"/>
    <x v="3"/>
  </r>
  <r>
    <d v="2024-04-23T00:00:00"/>
    <s v="INV1757"/>
    <s v="Cust_177"/>
    <s v="Male"/>
    <x v="3"/>
    <x v="2"/>
    <x v="2"/>
    <n v="29"/>
    <n v="199"/>
    <n v="5771"/>
    <x v="0"/>
    <x v="0"/>
  </r>
  <r>
    <d v="2024-01-25T00:00:00"/>
    <s v="INV1771"/>
    <s v="Cust_390"/>
    <s v="N/A"/>
    <x v="3"/>
    <x v="3"/>
    <x v="3"/>
    <n v="14"/>
    <n v="2999"/>
    <n v="41986"/>
    <x v="0"/>
    <x v="2"/>
  </r>
  <r>
    <d v="2024-12-15T00:00:00"/>
    <s v="INV1803"/>
    <s v="Cust_354"/>
    <s v="Male"/>
    <x v="3"/>
    <x v="4"/>
    <x v="6"/>
    <n v="49"/>
    <n v="2499"/>
    <n v="122451"/>
    <x v="2"/>
    <x v="3"/>
  </r>
  <r>
    <d v="2024-05-28T00:00:00"/>
    <s v="INV1821"/>
    <s v="Cust_396"/>
    <s v="Female"/>
    <x v="1"/>
    <x v="4"/>
    <x v="6"/>
    <n v="5"/>
    <n v="999"/>
    <n v="4995"/>
    <x v="1"/>
    <x v="1"/>
  </r>
  <r>
    <d v="2024-02-20T00:00:00"/>
    <s v="INV1822"/>
    <s v="Cust_223"/>
    <s v="Male"/>
    <x v="1"/>
    <x v="0"/>
    <x v="16"/>
    <n v="10"/>
    <n v="3499"/>
    <n v="34990"/>
    <x v="1"/>
    <x v="2"/>
  </r>
  <r>
    <d v="2024-04-05T00:00:00"/>
    <s v="INV1823"/>
    <s v="Cust_88"/>
    <s v="Male"/>
    <x v="0"/>
    <x v="2"/>
    <x v="4"/>
    <n v="38"/>
    <n v="999"/>
    <n v="37962"/>
    <x v="3"/>
    <x v="2"/>
  </r>
  <r>
    <d v="2024-07-01T00:00:00"/>
    <s v="INV1832"/>
    <s v="Cust_149"/>
    <s v="Male"/>
    <x v="3"/>
    <x v="3"/>
    <x v="3"/>
    <n v="24"/>
    <n v="3499"/>
    <n v="83976"/>
    <x v="0"/>
    <x v="3"/>
  </r>
  <r>
    <d v="2024-05-06T00:00:00"/>
    <s v="INV1841"/>
    <s v="Cust_155"/>
    <s v="Female"/>
    <x v="2"/>
    <x v="1"/>
    <x v="18"/>
    <n v="31"/>
    <n v="199"/>
    <n v="6169"/>
    <x v="0"/>
    <x v="2"/>
  </r>
  <r>
    <d v="2024-11-15T00:00:00"/>
    <s v="INV1845"/>
    <s v="Cust_214"/>
    <s v="Female"/>
    <x v="3"/>
    <x v="1"/>
    <x v="18"/>
    <n v="46"/>
    <n v="2499"/>
    <n v="114954"/>
    <x v="1"/>
    <x v="3"/>
  </r>
  <r>
    <d v="2024-05-17T00:00:00"/>
    <s v="INV1853"/>
    <s v="Cust_215"/>
    <s v="Female"/>
    <x v="0"/>
    <x v="1"/>
    <x v="1"/>
    <n v="49"/>
    <n v="3499"/>
    <n v="171451"/>
    <x v="3"/>
    <x v="1"/>
  </r>
  <r>
    <d v="2024-06-08T00:00:00"/>
    <s v="INV1878"/>
    <s v="Cust_384"/>
    <s v="Female"/>
    <x v="1"/>
    <x v="2"/>
    <x v="2"/>
    <n v="20"/>
    <n v="999"/>
    <n v="19980"/>
    <x v="0"/>
    <x v="2"/>
  </r>
  <r>
    <d v="2024-06-29T00:00:00"/>
    <s v="INV1887"/>
    <s v="Cust_393"/>
    <s v="Female"/>
    <x v="1"/>
    <x v="0"/>
    <x v="8"/>
    <n v="25"/>
    <n v="199"/>
    <n v="4975"/>
    <x v="0"/>
    <x v="3"/>
  </r>
  <r>
    <d v="2024-08-22T00:00:00"/>
    <s v="INV1888"/>
    <s v="Cust_86"/>
    <s v="Female"/>
    <x v="4"/>
    <x v="1"/>
    <x v="10"/>
    <n v="25"/>
    <n v="999"/>
    <n v="24975"/>
    <x v="1"/>
    <x v="1"/>
  </r>
  <r>
    <d v="2024-09-02T00:00:00"/>
    <s v="INV1893"/>
    <s v="Cust_1"/>
    <s v="N/A"/>
    <x v="3"/>
    <x v="3"/>
    <x v="12"/>
    <n v="29"/>
    <n v="999"/>
    <n v="28971"/>
    <x v="0"/>
    <x v="0"/>
  </r>
  <r>
    <d v="2024-11-13T00:00:00"/>
    <s v="INV1916"/>
    <s v="Cust_79"/>
    <s v="N/A"/>
    <x v="0"/>
    <x v="2"/>
    <x v="7"/>
    <n v="24"/>
    <n v="2499"/>
    <n v="59976"/>
    <x v="3"/>
    <x v="1"/>
  </r>
  <r>
    <d v="2024-01-10T00:00:00"/>
    <s v="INV1919"/>
    <s v="Cust_117"/>
    <s v="Female"/>
    <x v="3"/>
    <x v="2"/>
    <x v="19"/>
    <n v="29"/>
    <n v="199"/>
    <n v="5771"/>
    <x v="0"/>
    <x v="0"/>
  </r>
  <r>
    <d v="2024-07-06T00:00:00"/>
    <s v="INV1931"/>
    <s v="Cust_225"/>
    <s v="N/A"/>
    <x v="0"/>
    <x v="2"/>
    <x v="2"/>
    <n v="3"/>
    <n v="499"/>
    <n v="1497"/>
    <x v="3"/>
    <x v="2"/>
  </r>
  <r>
    <d v="2024-02-07T00:00:00"/>
    <s v="INV1936"/>
    <s v="Cust_301"/>
    <s v="Female"/>
    <x v="2"/>
    <x v="2"/>
    <x v="19"/>
    <n v="2"/>
    <n v="499"/>
    <n v="998"/>
    <x v="0"/>
    <x v="4"/>
  </r>
  <r>
    <d v="2024-08-09T00:00:00"/>
    <s v="INV1949"/>
    <s v="Cust_223"/>
    <s v="Female"/>
    <x v="4"/>
    <x v="1"/>
    <x v="9"/>
    <n v="30"/>
    <n v="1499"/>
    <n v="44970"/>
    <x v="2"/>
    <x v="1"/>
  </r>
  <r>
    <d v="2024-12-19T00:00:00"/>
    <s v="INV1958"/>
    <s v="Cust_325"/>
    <s v="Male"/>
    <x v="3"/>
    <x v="2"/>
    <x v="4"/>
    <n v="21"/>
    <n v="1999"/>
    <n v="41979"/>
    <x v="1"/>
    <x v="2"/>
  </r>
  <r>
    <d v="2024-10-20T00:00:00"/>
    <s v="INV1960"/>
    <s v="Cust_160"/>
    <s v="Female"/>
    <x v="4"/>
    <x v="1"/>
    <x v="10"/>
    <n v="40"/>
    <n v="1838"/>
    <n v="73520"/>
    <x v="0"/>
    <x v="4"/>
  </r>
  <r>
    <d v="2024-09-10T00:00:00"/>
    <s v="INV1964"/>
    <s v="Cust_287"/>
    <s v="Male"/>
    <x v="3"/>
    <x v="3"/>
    <x v="5"/>
    <n v="49"/>
    <n v="999"/>
    <n v="48951"/>
    <x v="1"/>
    <x v="0"/>
  </r>
  <r>
    <d v="2024-04-22T00:00:00"/>
    <s v="INV1977"/>
    <s v="Cust_183"/>
    <s v="Female"/>
    <x v="3"/>
    <x v="4"/>
    <x v="11"/>
    <n v="40"/>
    <n v="1499"/>
    <n v="59960"/>
    <x v="0"/>
    <x v="2"/>
  </r>
  <r>
    <d v="2024-05-25T00:00:00"/>
    <s v="INV1986"/>
    <s v="Cust_79"/>
    <s v="Female"/>
    <x v="0"/>
    <x v="2"/>
    <x v="19"/>
    <n v="33"/>
    <n v="499"/>
    <n v="16467"/>
    <x v="0"/>
    <x v="4"/>
  </r>
  <r>
    <d v="2024-02-22T00:00:00"/>
    <s v="INV1992"/>
    <s v="Cust_320"/>
    <s v="Female"/>
    <x v="4"/>
    <x v="4"/>
    <x v="11"/>
    <n v="12"/>
    <n v="1999"/>
    <n v="23988"/>
    <x v="1"/>
    <x v="1"/>
  </r>
  <r>
    <d v="2024-06-28T00:00:00"/>
    <s v="INV1993"/>
    <s v="Cust_395"/>
    <s v="Female"/>
    <x v="3"/>
    <x v="4"/>
    <x v="13"/>
    <n v="36"/>
    <n v="199"/>
    <n v="7164"/>
    <x v="1"/>
    <x v="3"/>
  </r>
  <r>
    <d v="2024-11-02T00:00:00"/>
    <s v="INV1998"/>
    <s v="Cust_310"/>
    <s v="N/A"/>
    <x v="1"/>
    <x v="0"/>
    <x v="8"/>
    <n v="46"/>
    <n v="199"/>
    <n v="9154"/>
    <x v="0"/>
    <x v="0"/>
  </r>
  <r>
    <d v="2024-07-10T00:00:00"/>
    <s v="INV2020"/>
    <s v="Cust_178"/>
    <s v="Female"/>
    <x v="0"/>
    <x v="1"/>
    <x v="10"/>
    <n v="17"/>
    <n v="1999"/>
    <n v="33983"/>
    <x v="0"/>
    <x v="1"/>
  </r>
  <r>
    <d v="2024-10-15T00:00:00"/>
    <s v="INV2035"/>
    <s v="Cust_307"/>
    <s v="Male"/>
    <x v="0"/>
    <x v="2"/>
    <x v="7"/>
    <n v="22"/>
    <n v="2999"/>
    <n v="65978"/>
    <x v="0"/>
    <x v="1"/>
  </r>
  <r>
    <d v="2024-11-12T00:00:00"/>
    <s v="INV2040"/>
    <s v="Cust_7"/>
    <s v="Male"/>
    <x v="1"/>
    <x v="4"/>
    <x v="11"/>
    <n v="28"/>
    <n v="2499"/>
    <n v="69972"/>
    <x v="2"/>
    <x v="2"/>
  </r>
  <r>
    <d v="2024-11-25T00:00:00"/>
    <s v="INV2049"/>
    <s v="Cust_128"/>
    <s v="Female"/>
    <x v="1"/>
    <x v="4"/>
    <x v="14"/>
    <n v="34"/>
    <n v="1999"/>
    <n v="67966"/>
    <x v="1"/>
    <x v="1"/>
  </r>
  <r>
    <d v="2024-03-06T00:00:00"/>
    <s v="INV2052"/>
    <s v="Cust_241"/>
    <s v="Male"/>
    <x v="0"/>
    <x v="2"/>
    <x v="4"/>
    <n v="2"/>
    <n v="499"/>
    <n v="998"/>
    <x v="2"/>
    <x v="1"/>
  </r>
  <r>
    <d v="2024-11-11T00:00:00"/>
    <s v="INV2070"/>
    <s v="Cust_182"/>
    <s v="Male"/>
    <x v="1"/>
    <x v="2"/>
    <x v="19"/>
    <n v="32"/>
    <n v="999"/>
    <n v="31968"/>
    <x v="0"/>
    <x v="0"/>
  </r>
  <r>
    <d v="2024-08-11T00:00:00"/>
    <s v="INV2084"/>
    <s v="Cust_365"/>
    <s v="Male"/>
    <x v="3"/>
    <x v="0"/>
    <x v="17"/>
    <n v="5"/>
    <n v="1999"/>
    <n v="9995"/>
    <x v="0"/>
    <x v="0"/>
  </r>
  <r>
    <d v="2024-06-28T00:00:00"/>
    <s v="INV2104"/>
    <s v="Cust_82"/>
    <s v="Female"/>
    <x v="3"/>
    <x v="4"/>
    <x v="13"/>
    <n v="29"/>
    <n v="1499"/>
    <n v="43471"/>
    <x v="0"/>
    <x v="3"/>
  </r>
  <r>
    <d v="2024-07-07T00:00:00"/>
    <s v="INV2113"/>
    <s v="Cust_145"/>
    <s v="Female"/>
    <x v="1"/>
    <x v="1"/>
    <x v="1"/>
    <n v="36"/>
    <n v="499"/>
    <n v="17964"/>
    <x v="0"/>
    <x v="2"/>
  </r>
  <r>
    <d v="2024-01-09T00:00:00"/>
    <s v="INV2121"/>
    <s v="Cust_314"/>
    <s v="Female"/>
    <x v="1"/>
    <x v="1"/>
    <x v="1"/>
    <n v="24"/>
    <n v="2499"/>
    <n v="59976"/>
    <x v="0"/>
    <x v="0"/>
  </r>
  <r>
    <d v="2024-06-05T00:00:00"/>
    <s v="INV2122"/>
    <s v="Cust_246"/>
    <s v="Male"/>
    <x v="3"/>
    <x v="3"/>
    <x v="15"/>
    <n v="32"/>
    <n v="3499"/>
    <n v="111968"/>
    <x v="0"/>
    <x v="0"/>
  </r>
  <r>
    <d v="2024-01-20T00:00:00"/>
    <s v="INV2129"/>
    <s v="Cust_306"/>
    <s v="Male"/>
    <x v="2"/>
    <x v="1"/>
    <x v="10"/>
    <n v="17"/>
    <n v="999"/>
    <n v="16983"/>
    <x v="3"/>
    <x v="4"/>
  </r>
  <r>
    <d v="2024-06-29T00:00:00"/>
    <s v="INV2133"/>
    <s v="Cust_197"/>
    <s v="Female"/>
    <x v="2"/>
    <x v="3"/>
    <x v="15"/>
    <n v="4"/>
    <n v="2999"/>
    <n v="11996"/>
    <x v="0"/>
    <x v="0"/>
  </r>
  <r>
    <d v="2024-03-16T00:00:00"/>
    <s v="INV2137"/>
    <s v="Cust_344"/>
    <s v="N/A"/>
    <x v="3"/>
    <x v="3"/>
    <x v="5"/>
    <n v="5"/>
    <n v="3499"/>
    <n v="17495"/>
    <x v="0"/>
    <x v="0"/>
  </r>
  <r>
    <d v="2024-01-14T00:00:00"/>
    <s v="INV2139"/>
    <s v="Cust_371"/>
    <s v="Male"/>
    <x v="1"/>
    <x v="4"/>
    <x v="11"/>
    <n v="11"/>
    <n v="2999"/>
    <n v="32989"/>
    <x v="1"/>
    <x v="1"/>
  </r>
  <r>
    <d v="2024-07-14T00:00:00"/>
    <s v="INV2143"/>
    <s v="Cust_361"/>
    <s v="Male"/>
    <x v="0"/>
    <x v="2"/>
    <x v="19"/>
    <n v="6"/>
    <n v="1999"/>
    <n v="11994"/>
    <x v="1"/>
    <x v="3"/>
  </r>
  <r>
    <d v="2024-12-23T00:00:00"/>
    <s v="INV2146"/>
    <s v="Cust_397"/>
    <s v="Female"/>
    <x v="0"/>
    <x v="4"/>
    <x v="11"/>
    <n v="11"/>
    <n v="2999"/>
    <n v="32989"/>
    <x v="0"/>
    <x v="4"/>
  </r>
  <r>
    <d v="2024-06-14T00:00:00"/>
    <s v="INV2160"/>
    <s v="Cust_270"/>
    <s v="Female"/>
    <x v="0"/>
    <x v="4"/>
    <x v="6"/>
    <n v="5"/>
    <n v="1499"/>
    <n v="7495"/>
    <x v="3"/>
    <x v="2"/>
  </r>
  <r>
    <d v="2024-04-06T00:00:00"/>
    <s v="INV2163"/>
    <s v="Cust_142"/>
    <s v="Female"/>
    <x v="3"/>
    <x v="0"/>
    <x v="17"/>
    <n v="4"/>
    <n v="499"/>
    <n v="1996"/>
    <x v="0"/>
    <x v="2"/>
  </r>
  <r>
    <d v="2024-08-23T00:00:00"/>
    <s v="INV2166"/>
    <s v="Cust_1"/>
    <s v="Male"/>
    <x v="1"/>
    <x v="2"/>
    <x v="19"/>
    <n v="7"/>
    <n v="1499"/>
    <n v="10493"/>
    <x v="0"/>
    <x v="2"/>
  </r>
  <r>
    <d v="2024-01-12T00:00:00"/>
    <s v="INV2188"/>
    <s v="Cust_87"/>
    <s v="N/A"/>
    <x v="4"/>
    <x v="2"/>
    <x v="4"/>
    <n v="14"/>
    <n v="2499"/>
    <n v="34986"/>
    <x v="0"/>
    <x v="2"/>
  </r>
  <r>
    <d v="2024-10-16T00:00:00"/>
    <s v="INV2193"/>
    <s v="Cust_301"/>
    <s v="Male"/>
    <x v="1"/>
    <x v="0"/>
    <x v="17"/>
    <n v="43"/>
    <n v="199"/>
    <n v="8557"/>
    <x v="0"/>
    <x v="1"/>
  </r>
  <r>
    <d v="2024-08-24T00:00:00"/>
    <s v="INV2200"/>
    <s v="Cust_239"/>
    <s v="Male"/>
    <x v="1"/>
    <x v="2"/>
    <x v="19"/>
    <n v="11"/>
    <n v="1845"/>
    <n v="20295"/>
    <x v="3"/>
    <x v="1"/>
  </r>
  <r>
    <d v="2024-07-21T00:00:00"/>
    <s v="INV2210"/>
    <s v="Cust_66"/>
    <s v="Male"/>
    <x v="2"/>
    <x v="4"/>
    <x v="11"/>
    <n v="16"/>
    <n v="999"/>
    <n v="15984"/>
    <x v="0"/>
    <x v="2"/>
  </r>
  <r>
    <d v="2024-08-14T00:00:00"/>
    <s v="INV2213"/>
    <s v="Cust_19"/>
    <s v="Female"/>
    <x v="1"/>
    <x v="4"/>
    <x v="6"/>
    <n v="41"/>
    <n v="199"/>
    <n v="8159"/>
    <x v="2"/>
    <x v="0"/>
  </r>
  <r>
    <d v="2024-05-05T00:00:00"/>
    <s v="INV2225"/>
    <s v="Cust_330"/>
    <s v="Female"/>
    <x v="3"/>
    <x v="2"/>
    <x v="19"/>
    <n v="10"/>
    <n v="2499"/>
    <n v="24990"/>
    <x v="2"/>
    <x v="1"/>
  </r>
  <r>
    <d v="2024-11-15T00:00:00"/>
    <s v="INV2229"/>
    <s v="Cust_324"/>
    <s v="Male"/>
    <x v="3"/>
    <x v="3"/>
    <x v="15"/>
    <n v="35"/>
    <n v="499"/>
    <n v="17465"/>
    <x v="1"/>
    <x v="1"/>
  </r>
  <r>
    <d v="2024-09-08T00:00:00"/>
    <s v="INV2232"/>
    <s v="Cust_25"/>
    <s v="Female"/>
    <x v="2"/>
    <x v="4"/>
    <x v="6"/>
    <n v="23"/>
    <n v="1749"/>
    <n v="40227"/>
    <x v="0"/>
    <x v="3"/>
  </r>
  <r>
    <d v="2024-04-13T00:00:00"/>
    <s v="INV2233"/>
    <s v="Cust_128"/>
    <s v="N/A"/>
    <x v="0"/>
    <x v="3"/>
    <x v="5"/>
    <n v="39"/>
    <n v="1499"/>
    <n v="58461"/>
    <x v="0"/>
    <x v="0"/>
  </r>
  <r>
    <d v="2024-08-23T00:00:00"/>
    <s v="INV2235"/>
    <s v="Cust_50"/>
    <s v="Female"/>
    <x v="3"/>
    <x v="0"/>
    <x v="17"/>
    <n v="11"/>
    <n v="3499"/>
    <n v="38489"/>
    <x v="0"/>
    <x v="4"/>
  </r>
  <r>
    <d v="2024-09-06T00:00:00"/>
    <s v="INV2245"/>
    <s v="Cust_102"/>
    <s v="Male"/>
    <x v="4"/>
    <x v="4"/>
    <x v="13"/>
    <n v="44"/>
    <n v="1749"/>
    <n v="76956"/>
    <x v="1"/>
    <x v="2"/>
  </r>
  <r>
    <d v="2024-06-13T00:00:00"/>
    <s v="INV2269"/>
    <s v="Cust_192"/>
    <s v="Male"/>
    <x v="3"/>
    <x v="0"/>
    <x v="16"/>
    <n v="21"/>
    <n v="3499"/>
    <n v="73479"/>
    <x v="0"/>
    <x v="2"/>
  </r>
  <r>
    <d v="2024-04-10T00:00:00"/>
    <s v="INV2290"/>
    <s v="Cust_312"/>
    <s v="Female"/>
    <x v="3"/>
    <x v="1"/>
    <x v="1"/>
    <n v="41"/>
    <n v="2999"/>
    <n v="122959"/>
    <x v="0"/>
    <x v="0"/>
  </r>
  <r>
    <d v="2024-04-08T00:00:00"/>
    <s v="INV2291"/>
    <s v="Cust_166"/>
    <s v="N/A"/>
    <x v="3"/>
    <x v="4"/>
    <x v="11"/>
    <n v="1"/>
    <n v="2999"/>
    <n v="2999"/>
    <x v="2"/>
    <x v="3"/>
  </r>
  <r>
    <d v="2024-03-24T00:00:00"/>
    <s v="INV2293"/>
    <s v="Cust_287"/>
    <s v="Male"/>
    <x v="3"/>
    <x v="0"/>
    <x v="17"/>
    <n v="25"/>
    <n v="1999"/>
    <n v="49975"/>
    <x v="1"/>
    <x v="2"/>
  </r>
  <r>
    <d v="2024-03-09T00:00:00"/>
    <s v="INV2307"/>
    <s v="Cust_303"/>
    <s v="N/A"/>
    <x v="3"/>
    <x v="1"/>
    <x v="18"/>
    <n v="3"/>
    <n v="2999"/>
    <n v="8997"/>
    <x v="3"/>
    <x v="4"/>
  </r>
  <r>
    <d v="2024-02-05T00:00:00"/>
    <s v="INV2312"/>
    <s v="Cust_80"/>
    <s v="Female"/>
    <x v="3"/>
    <x v="2"/>
    <x v="19"/>
    <n v="42"/>
    <n v="2999"/>
    <n v="125958"/>
    <x v="1"/>
    <x v="0"/>
  </r>
  <r>
    <d v="2024-01-28T00:00:00"/>
    <s v="INV2315"/>
    <s v="Cust_266"/>
    <s v="Female"/>
    <x v="1"/>
    <x v="1"/>
    <x v="9"/>
    <n v="18"/>
    <n v="999"/>
    <n v="17982"/>
    <x v="0"/>
    <x v="1"/>
  </r>
  <r>
    <d v="2024-08-11T00:00:00"/>
    <s v="INV2317"/>
    <s v="Cust_128"/>
    <s v="Female"/>
    <x v="1"/>
    <x v="2"/>
    <x v="19"/>
    <n v="8"/>
    <n v="199"/>
    <n v="1592"/>
    <x v="2"/>
    <x v="4"/>
  </r>
  <r>
    <d v="2024-04-20T00:00:00"/>
    <s v="INV2320"/>
    <s v="Cust_98"/>
    <s v="Female"/>
    <x v="3"/>
    <x v="4"/>
    <x v="14"/>
    <n v="17"/>
    <n v="1999"/>
    <n v="33983"/>
    <x v="0"/>
    <x v="0"/>
  </r>
  <r>
    <d v="2024-08-30T00:00:00"/>
    <s v="INV2330"/>
    <s v="Cust_53"/>
    <s v="N/A"/>
    <x v="3"/>
    <x v="0"/>
    <x v="0"/>
    <n v="39"/>
    <n v="1999"/>
    <n v="77961"/>
    <x v="0"/>
    <x v="2"/>
  </r>
  <r>
    <d v="2024-08-23T00:00:00"/>
    <s v="INV2341"/>
    <s v="Cust_66"/>
    <s v="Female"/>
    <x v="1"/>
    <x v="1"/>
    <x v="9"/>
    <n v="33"/>
    <n v="199"/>
    <n v="6567"/>
    <x v="2"/>
    <x v="1"/>
  </r>
  <r>
    <d v="2024-02-29T00:00:00"/>
    <s v="INV2343"/>
    <s v="Cust_188"/>
    <s v="Male"/>
    <x v="1"/>
    <x v="1"/>
    <x v="1"/>
    <n v="13"/>
    <n v="2999"/>
    <n v="38987"/>
    <x v="0"/>
    <x v="1"/>
  </r>
  <r>
    <d v="2024-04-03T00:00:00"/>
    <s v="INV2375"/>
    <s v="Cust_338"/>
    <s v="N/A"/>
    <x v="3"/>
    <x v="0"/>
    <x v="17"/>
    <n v="0"/>
    <n v="2499"/>
    <n v="0"/>
    <x v="2"/>
    <x v="2"/>
  </r>
  <r>
    <d v="2024-02-23T00:00:00"/>
    <s v="INV2389"/>
    <s v="Cust_79"/>
    <s v="Male"/>
    <x v="2"/>
    <x v="3"/>
    <x v="3"/>
    <n v="42"/>
    <n v="1999"/>
    <n v="83958"/>
    <x v="3"/>
    <x v="0"/>
  </r>
  <r>
    <d v="2024-01-18T00:00:00"/>
    <s v="INV2395"/>
    <s v="Cust_302"/>
    <s v="N/A"/>
    <x v="1"/>
    <x v="1"/>
    <x v="10"/>
    <n v="8"/>
    <n v="2499"/>
    <n v="19992"/>
    <x v="1"/>
    <x v="0"/>
  </r>
  <r>
    <d v="2024-06-21T00:00:00"/>
    <s v="INV2402"/>
    <s v="Cust_314"/>
    <s v="N/A"/>
    <x v="4"/>
    <x v="3"/>
    <x v="3"/>
    <n v="31"/>
    <n v="3499"/>
    <n v="108469"/>
    <x v="0"/>
    <x v="3"/>
  </r>
  <r>
    <d v="2024-11-08T00:00:00"/>
    <s v="INV2403"/>
    <s v="Cust_220"/>
    <s v="N/A"/>
    <x v="3"/>
    <x v="0"/>
    <x v="0"/>
    <n v="7"/>
    <n v="199"/>
    <n v="1393"/>
    <x v="0"/>
    <x v="0"/>
  </r>
  <r>
    <d v="2024-06-18T00:00:00"/>
    <s v="INV2419"/>
    <s v="Cust_387"/>
    <s v="Female"/>
    <x v="0"/>
    <x v="2"/>
    <x v="4"/>
    <n v="0"/>
    <n v="2499"/>
    <n v="0"/>
    <x v="1"/>
    <x v="2"/>
  </r>
  <r>
    <d v="2024-04-04T00:00:00"/>
    <s v="INV2424"/>
    <s v="Cust_185"/>
    <s v="Male"/>
    <x v="3"/>
    <x v="4"/>
    <x v="11"/>
    <n v="4"/>
    <n v="2499"/>
    <n v="9996"/>
    <x v="1"/>
    <x v="3"/>
  </r>
  <r>
    <d v="2024-10-15T00:00:00"/>
    <s v="INV2442"/>
    <s v="Cust_42"/>
    <s v="Female"/>
    <x v="3"/>
    <x v="0"/>
    <x v="16"/>
    <n v="15"/>
    <n v="2999"/>
    <n v="44985"/>
    <x v="0"/>
    <x v="2"/>
  </r>
  <r>
    <d v="2024-05-06T00:00:00"/>
    <s v="INV2476"/>
    <s v="Cust_195"/>
    <s v="Female"/>
    <x v="3"/>
    <x v="2"/>
    <x v="7"/>
    <n v="10"/>
    <n v="1499"/>
    <n v="14990"/>
    <x v="0"/>
    <x v="4"/>
  </r>
  <r>
    <d v="2024-02-08T00:00:00"/>
    <s v="INV2479"/>
    <s v="Cust_73"/>
    <s v="Female"/>
    <x v="4"/>
    <x v="0"/>
    <x v="17"/>
    <n v="17"/>
    <n v="2499"/>
    <n v="42483"/>
    <x v="1"/>
    <x v="2"/>
  </r>
  <r>
    <d v="2024-03-13T00:00:00"/>
    <s v="INV2480"/>
    <s v="Cust_371"/>
    <s v="Female"/>
    <x v="1"/>
    <x v="2"/>
    <x v="7"/>
    <n v="4"/>
    <n v="2499"/>
    <n v="9996"/>
    <x v="0"/>
    <x v="3"/>
  </r>
  <r>
    <d v="2024-09-08T00:00:00"/>
    <s v="INV2489"/>
    <s v="Cust_312"/>
    <s v="Female"/>
    <x v="3"/>
    <x v="0"/>
    <x v="16"/>
    <n v="14"/>
    <n v="1999"/>
    <n v="27986"/>
    <x v="1"/>
    <x v="1"/>
  </r>
  <r>
    <d v="2024-01-09T00:00:00"/>
    <s v="INV2494"/>
    <s v="Cust_4"/>
    <s v="N/A"/>
    <x v="1"/>
    <x v="0"/>
    <x v="17"/>
    <n v="5"/>
    <n v="1499"/>
    <n v="7495"/>
    <x v="0"/>
    <x v="2"/>
  </r>
  <r>
    <d v="2024-06-18T00:00:00"/>
    <s v="INV2496"/>
    <s v="Cust_100"/>
    <s v="Male"/>
    <x v="1"/>
    <x v="3"/>
    <x v="3"/>
    <n v="42"/>
    <n v="3499"/>
    <n v="146958"/>
    <x v="0"/>
    <x v="4"/>
  </r>
  <r>
    <d v="2024-07-19T00:00:00"/>
    <s v="INV2501"/>
    <s v="Cust_301"/>
    <s v="Male"/>
    <x v="1"/>
    <x v="2"/>
    <x v="4"/>
    <n v="26"/>
    <n v="999"/>
    <n v="25974"/>
    <x v="0"/>
    <x v="1"/>
  </r>
  <r>
    <d v="2024-10-20T00:00:00"/>
    <s v="INV2512"/>
    <s v="Cust_255"/>
    <s v="Male"/>
    <x v="0"/>
    <x v="1"/>
    <x v="10"/>
    <n v="27"/>
    <n v="999"/>
    <n v="26973"/>
    <x v="0"/>
    <x v="3"/>
  </r>
  <r>
    <d v="2024-05-29T00:00:00"/>
    <s v="INV2519"/>
    <s v="Cust_330"/>
    <s v="Female"/>
    <x v="1"/>
    <x v="2"/>
    <x v="19"/>
    <n v="26"/>
    <n v="999"/>
    <n v="25974"/>
    <x v="2"/>
    <x v="2"/>
  </r>
  <r>
    <d v="2024-09-09T00:00:00"/>
    <s v="INV2524"/>
    <s v="Cust_233"/>
    <s v="Female"/>
    <x v="1"/>
    <x v="1"/>
    <x v="10"/>
    <n v="3"/>
    <n v="1499"/>
    <n v="4497"/>
    <x v="0"/>
    <x v="0"/>
  </r>
  <r>
    <d v="2024-11-14T00:00:00"/>
    <s v="INV2527"/>
    <s v="Cust_233"/>
    <s v="Male"/>
    <x v="3"/>
    <x v="1"/>
    <x v="9"/>
    <n v="7"/>
    <n v="1838"/>
    <n v="12866"/>
    <x v="2"/>
    <x v="2"/>
  </r>
  <r>
    <d v="2024-03-05T00:00:00"/>
    <s v="INV2528"/>
    <s v="Cust_349"/>
    <s v="Female"/>
    <x v="2"/>
    <x v="1"/>
    <x v="1"/>
    <n v="6"/>
    <n v="3499"/>
    <n v="20994"/>
    <x v="0"/>
    <x v="0"/>
  </r>
  <r>
    <d v="2024-05-24T00:00:00"/>
    <s v="INV2530"/>
    <s v="Cust_359"/>
    <s v="Female"/>
    <x v="2"/>
    <x v="0"/>
    <x v="16"/>
    <n v="6"/>
    <n v="3499"/>
    <n v="20994"/>
    <x v="3"/>
    <x v="2"/>
  </r>
  <r>
    <d v="2024-12-14T00:00:00"/>
    <s v="INV2535"/>
    <s v="Cust_173"/>
    <s v="Female"/>
    <x v="0"/>
    <x v="2"/>
    <x v="7"/>
    <n v="7"/>
    <n v="2499"/>
    <n v="17493"/>
    <x v="1"/>
    <x v="3"/>
  </r>
  <r>
    <d v="2024-01-04T00:00:00"/>
    <s v="INV2545"/>
    <s v="Cust_305"/>
    <s v="Female"/>
    <x v="4"/>
    <x v="1"/>
    <x v="18"/>
    <n v="12"/>
    <n v="199"/>
    <n v="2388"/>
    <x v="3"/>
    <x v="3"/>
  </r>
  <r>
    <d v="2024-01-16T00:00:00"/>
    <s v="INV2584"/>
    <s v="Cust_186"/>
    <s v="N/A"/>
    <x v="1"/>
    <x v="0"/>
    <x v="8"/>
    <n v="25"/>
    <n v="1878"/>
    <n v="46950"/>
    <x v="1"/>
    <x v="2"/>
  </r>
  <r>
    <d v="2024-10-16T00:00:00"/>
    <s v="INV2588"/>
    <s v="Cust_177"/>
    <s v="Male"/>
    <x v="1"/>
    <x v="3"/>
    <x v="5"/>
    <n v="14"/>
    <n v="199"/>
    <n v="2786"/>
    <x v="1"/>
    <x v="0"/>
  </r>
  <r>
    <d v="2024-02-21T00:00:00"/>
    <s v="INV2591"/>
    <s v="Cust_250"/>
    <s v="Male"/>
    <x v="1"/>
    <x v="2"/>
    <x v="7"/>
    <n v="34"/>
    <n v="499"/>
    <n v="16966"/>
    <x v="0"/>
    <x v="3"/>
  </r>
  <r>
    <d v="2024-05-26T00:00:00"/>
    <s v="INV2592"/>
    <s v="Cust_53"/>
    <s v="Female"/>
    <x v="3"/>
    <x v="2"/>
    <x v="7"/>
    <n v="44"/>
    <n v="2999"/>
    <n v="131956"/>
    <x v="0"/>
    <x v="1"/>
  </r>
  <r>
    <d v="2024-04-07T00:00:00"/>
    <s v="INV2604"/>
    <s v="Cust_73"/>
    <s v="Male"/>
    <x v="1"/>
    <x v="3"/>
    <x v="15"/>
    <n v="45"/>
    <n v="2999"/>
    <n v="134955"/>
    <x v="0"/>
    <x v="0"/>
  </r>
  <r>
    <d v="2024-01-02T00:00:00"/>
    <s v="INV2622"/>
    <s v="Cust_365"/>
    <s v="Male"/>
    <x v="4"/>
    <x v="3"/>
    <x v="3"/>
    <n v="3"/>
    <n v="499"/>
    <n v="1497"/>
    <x v="0"/>
    <x v="0"/>
  </r>
  <r>
    <d v="2024-11-21T00:00:00"/>
    <s v="INV2625"/>
    <s v="Cust_158"/>
    <s v="N/A"/>
    <x v="3"/>
    <x v="2"/>
    <x v="7"/>
    <n v="18"/>
    <n v="1999"/>
    <n v="35982"/>
    <x v="1"/>
    <x v="1"/>
  </r>
  <r>
    <d v="2024-07-21T00:00:00"/>
    <s v="INV2627"/>
    <s v="Cust_366"/>
    <s v="N/A"/>
    <x v="1"/>
    <x v="0"/>
    <x v="0"/>
    <n v="15"/>
    <n v="199"/>
    <n v="2985"/>
    <x v="3"/>
    <x v="2"/>
  </r>
  <r>
    <d v="2024-08-13T00:00:00"/>
    <s v="INV2633"/>
    <s v="Cust_242"/>
    <s v="Male"/>
    <x v="3"/>
    <x v="2"/>
    <x v="7"/>
    <n v="10"/>
    <n v="2999"/>
    <n v="29990"/>
    <x v="0"/>
    <x v="0"/>
  </r>
  <r>
    <d v="2024-11-21T00:00:00"/>
    <s v="INV2638"/>
    <s v="Cust_382"/>
    <s v="Female"/>
    <x v="2"/>
    <x v="0"/>
    <x v="8"/>
    <n v="27"/>
    <n v="1999"/>
    <n v="53973"/>
    <x v="0"/>
    <x v="2"/>
  </r>
  <r>
    <d v="2024-10-28T00:00:00"/>
    <s v="INV2644"/>
    <s v="Cust_25"/>
    <s v="Female"/>
    <x v="3"/>
    <x v="4"/>
    <x v="13"/>
    <n v="9"/>
    <n v="999"/>
    <n v="8991"/>
    <x v="0"/>
    <x v="2"/>
  </r>
  <r>
    <d v="2024-05-26T00:00:00"/>
    <s v="INV2646"/>
    <s v="Cust_267"/>
    <s v="Male"/>
    <x v="3"/>
    <x v="4"/>
    <x v="14"/>
    <n v="6"/>
    <n v="1499"/>
    <n v="8994"/>
    <x v="1"/>
    <x v="4"/>
  </r>
  <r>
    <d v="2024-08-10T00:00:00"/>
    <s v="INV2654"/>
    <s v="Cust_318"/>
    <s v="Male"/>
    <x v="3"/>
    <x v="0"/>
    <x v="8"/>
    <n v="31"/>
    <n v="199"/>
    <n v="6169"/>
    <x v="0"/>
    <x v="4"/>
  </r>
  <r>
    <d v="2024-08-28T00:00:00"/>
    <s v="INV2669"/>
    <s v="Cust_73"/>
    <s v="Male"/>
    <x v="1"/>
    <x v="4"/>
    <x v="6"/>
    <n v="12"/>
    <n v="2999"/>
    <n v="35988"/>
    <x v="0"/>
    <x v="0"/>
  </r>
  <r>
    <d v="2024-11-02T00:00:00"/>
    <s v="INV2674"/>
    <s v="Cust_381"/>
    <s v="N/A"/>
    <x v="3"/>
    <x v="0"/>
    <x v="0"/>
    <n v="36"/>
    <n v="3499"/>
    <n v="125964"/>
    <x v="0"/>
    <x v="2"/>
  </r>
  <r>
    <d v="2024-02-21T00:00:00"/>
    <s v="INV2679"/>
    <s v="Cust_383"/>
    <s v="Female"/>
    <x v="1"/>
    <x v="1"/>
    <x v="18"/>
    <n v="28"/>
    <n v="199"/>
    <n v="5572"/>
    <x v="0"/>
    <x v="4"/>
  </r>
  <r>
    <d v="2024-08-23T00:00:00"/>
    <s v="INV2680"/>
    <s v="Cust_310"/>
    <s v="N/A"/>
    <x v="3"/>
    <x v="0"/>
    <x v="8"/>
    <n v="48"/>
    <n v="1999"/>
    <n v="95952"/>
    <x v="1"/>
    <x v="1"/>
  </r>
  <r>
    <d v="2024-11-10T00:00:00"/>
    <s v="INV2684"/>
    <s v="Cust_148"/>
    <s v="Male"/>
    <x v="1"/>
    <x v="2"/>
    <x v="2"/>
    <n v="28"/>
    <n v="499"/>
    <n v="13972"/>
    <x v="0"/>
    <x v="0"/>
  </r>
  <r>
    <d v="2024-10-10T00:00:00"/>
    <s v="INV2697"/>
    <s v="Cust_145"/>
    <s v="N/A"/>
    <x v="3"/>
    <x v="0"/>
    <x v="0"/>
    <n v="10"/>
    <n v="1999"/>
    <n v="19990"/>
    <x v="0"/>
    <x v="0"/>
  </r>
  <r>
    <d v="2024-12-28T00:00:00"/>
    <s v="INV2713"/>
    <s v="Cust_339"/>
    <s v="N/A"/>
    <x v="2"/>
    <x v="0"/>
    <x v="8"/>
    <n v="40"/>
    <n v="2499"/>
    <n v="99960"/>
    <x v="1"/>
    <x v="0"/>
  </r>
  <r>
    <d v="2024-06-28T00:00:00"/>
    <s v="INV2729"/>
    <s v="Cust_352"/>
    <s v="Female"/>
    <x v="3"/>
    <x v="4"/>
    <x v="14"/>
    <n v="3"/>
    <n v="2999"/>
    <n v="8997"/>
    <x v="0"/>
    <x v="1"/>
  </r>
  <r>
    <d v="2024-05-17T00:00:00"/>
    <s v="INV2743"/>
    <s v="Cust_163"/>
    <s v="N/A"/>
    <x v="0"/>
    <x v="4"/>
    <x v="14"/>
    <n v="0"/>
    <n v="1999"/>
    <n v="0"/>
    <x v="0"/>
    <x v="2"/>
  </r>
  <r>
    <d v="2024-12-26T00:00:00"/>
    <s v="INV2746"/>
    <s v="Cust_281"/>
    <s v="Female"/>
    <x v="3"/>
    <x v="0"/>
    <x v="17"/>
    <n v="13"/>
    <n v="1999"/>
    <n v="25987"/>
    <x v="0"/>
    <x v="0"/>
  </r>
  <r>
    <d v="2024-09-10T00:00:00"/>
    <s v="INV2747"/>
    <s v="Cust_61"/>
    <s v="Male"/>
    <x v="0"/>
    <x v="2"/>
    <x v="4"/>
    <n v="10"/>
    <n v="2499"/>
    <n v="24990"/>
    <x v="2"/>
    <x v="2"/>
  </r>
  <r>
    <d v="2024-02-10T00:00:00"/>
    <s v="INV2753"/>
    <s v="Cust_330"/>
    <s v="Female"/>
    <x v="0"/>
    <x v="4"/>
    <x v="11"/>
    <n v="43"/>
    <n v="1999"/>
    <n v="85957"/>
    <x v="0"/>
    <x v="3"/>
  </r>
  <r>
    <d v="2024-12-28T00:00:00"/>
    <s v="INV2775"/>
    <s v="Cust_326"/>
    <s v="N/A"/>
    <x v="0"/>
    <x v="1"/>
    <x v="9"/>
    <n v="1"/>
    <n v="3499"/>
    <n v="3499"/>
    <x v="3"/>
    <x v="3"/>
  </r>
  <r>
    <d v="2024-04-27T00:00:00"/>
    <s v="INV2776"/>
    <s v="Cust_165"/>
    <s v="N/A"/>
    <x v="2"/>
    <x v="0"/>
    <x v="8"/>
    <n v="14"/>
    <n v="2999"/>
    <n v="41986"/>
    <x v="0"/>
    <x v="4"/>
  </r>
  <r>
    <d v="2024-05-10T00:00:00"/>
    <s v="INV2790"/>
    <s v="Cust_176"/>
    <s v="N/A"/>
    <x v="1"/>
    <x v="1"/>
    <x v="18"/>
    <n v="19"/>
    <n v="1838"/>
    <n v="34922"/>
    <x v="1"/>
    <x v="1"/>
  </r>
  <r>
    <d v="2024-08-27T00:00:00"/>
    <s v="INV2824"/>
    <s v="Cust_99"/>
    <s v="N/A"/>
    <x v="3"/>
    <x v="0"/>
    <x v="16"/>
    <n v="17"/>
    <n v="1499"/>
    <n v="25483"/>
    <x v="0"/>
    <x v="1"/>
  </r>
  <r>
    <d v="2024-04-27T00:00:00"/>
    <s v="INV2827"/>
    <s v="Cust_223"/>
    <s v="Male"/>
    <x v="4"/>
    <x v="3"/>
    <x v="5"/>
    <n v="8"/>
    <n v="999"/>
    <n v="7992"/>
    <x v="3"/>
    <x v="4"/>
  </r>
  <r>
    <d v="2024-07-21T00:00:00"/>
    <s v="INV2858"/>
    <s v="Cust_184"/>
    <s v="Male"/>
    <x v="0"/>
    <x v="0"/>
    <x v="8"/>
    <n v="5"/>
    <n v="1999"/>
    <n v="9995"/>
    <x v="0"/>
    <x v="2"/>
  </r>
  <r>
    <d v="2024-03-09T00:00:00"/>
    <s v="INV2869"/>
    <s v="Cust_87"/>
    <s v="Male"/>
    <x v="1"/>
    <x v="1"/>
    <x v="18"/>
    <n v="2"/>
    <n v="3499"/>
    <n v="6998"/>
    <x v="3"/>
    <x v="0"/>
  </r>
  <r>
    <d v="2024-06-30T00:00:00"/>
    <s v="INV2874"/>
    <s v="Cust_356"/>
    <s v="Male"/>
    <x v="4"/>
    <x v="1"/>
    <x v="18"/>
    <n v="36"/>
    <n v="199"/>
    <n v="7164"/>
    <x v="1"/>
    <x v="2"/>
  </r>
  <r>
    <d v="2024-11-17T00:00:00"/>
    <s v="INV2880"/>
    <s v="Cust_58"/>
    <s v="Male"/>
    <x v="1"/>
    <x v="0"/>
    <x v="16"/>
    <n v="22"/>
    <n v="1499"/>
    <n v="32978"/>
    <x v="0"/>
    <x v="4"/>
  </r>
  <r>
    <d v="2024-03-15T00:00:00"/>
    <s v="INV2886"/>
    <s v="Cust_130"/>
    <s v="Female"/>
    <x v="1"/>
    <x v="4"/>
    <x v="11"/>
    <n v="3"/>
    <n v="2499"/>
    <n v="7497"/>
    <x v="0"/>
    <x v="0"/>
  </r>
  <r>
    <d v="2024-05-31T00:00:00"/>
    <s v="INV2889"/>
    <s v="Cust_388"/>
    <s v="N/A"/>
    <x v="3"/>
    <x v="2"/>
    <x v="2"/>
    <n v="41"/>
    <n v="3499"/>
    <n v="143459"/>
    <x v="0"/>
    <x v="2"/>
  </r>
  <r>
    <d v="2024-01-04T00:00:00"/>
    <s v="INV2891"/>
    <s v="Cust_11"/>
    <s v="Female"/>
    <x v="0"/>
    <x v="2"/>
    <x v="7"/>
    <n v="37"/>
    <n v="999"/>
    <n v="36963"/>
    <x v="0"/>
    <x v="0"/>
  </r>
  <r>
    <d v="2024-08-29T00:00:00"/>
    <s v="INV2894"/>
    <s v="Cust_61"/>
    <s v="Female"/>
    <x v="0"/>
    <x v="1"/>
    <x v="18"/>
    <n v="20"/>
    <n v="1838"/>
    <n v="36760"/>
    <x v="0"/>
    <x v="2"/>
  </r>
  <r>
    <d v="2024-01-14T00:00:00"/>
    <s v="INV2899"/>
    <s v="Cust_96"/>
    <s v="Male"/>
    <x v="0"/>
    <x v="3"/>
    <x v="3"/>
    <n v="5"/>
    <n v="1624"/>
    <n v="8120"/>
    <x v="3"/>
    <x v="3"/>
  </r>
  <r>
    <d v="2024-06-27T00:00:00"/>
    <s v="INV2902"/>
    <s v="Cust_64"/>
    <s v="N/A"/>
    <x v="2"/>
    <x v="3"/>
    <x v="15"/>
    <n v="3"/>
    <n v="499"/>
    <n v="1497"/>
    <x v="0"/>
    <x v="2"/>
  </r>
  <r>
    <d v="2024-01-23T00:00:00"/>
    <s v="INV2911"/>
    <s v="Cust_25"/>
    <s v="N/A"/>
    <x v="0"/>
    <x v="0"/>
    <x v="17"/>
    <n v="13"/>
    <n v="3499"/>
    <n v="45487"/>
    <x v="1"/>
    <x v="2"/>
  </r>
  <r>
    <d v="2024-06-25T00:00:00"/>
    <s v="INV2924"/>
    <s v="Cust_111"/>
    <s v="Female"/>
    <x v="1"/>
    <x v="4"/>
    <x v="11"/>
    <n v="27"/>
    <n v="3499"/>
    <n v="94473"/>
    <x v="3"/>
    <x v="0"/>
  </r>
  <r>
    <d v="2024-06-19T00:00:00"/>
    <s v="INV2964"/>
    <s v="Cust_378"/>
    <s v="N/A"/>
    <x v="3"/>
    <x v="2"/>
    <x v="2"/>
    <n v="22"/>
    <n v="2999"/>
    <n v="65978"/>
    <x v="0"/>
    <x v="2"/>
  </r>
  <r>
    <d v="2024-04-21T00:00:00"/>
    <s v="INV2976"/>
    <s v="Cust_286"/>
    <s v="N/A"/>
    <x v="3"/>
    <x v="0"/>
    <x v="16"/>
    <n v="22"/>
    <n v="2999"/>
    <n v="65978"/>
    <x v="0"/>
    <x v="2"/>
  </r>
  <r>
    <d v="2024-09-23T00:00:00"/>
    <s v="INV2982"/>
    <s v="Cust_204"/>
    <s v="Male"/>
    <x v="1"/>
    <x v="2"/>
    <x v="19"/>
    <n v="32"/>
    <n v="2499"/>
    <n v="79968"/>
    <x v="0"/>
    <x v="4"/>
  </r>
  <r>
    <d v="2024-02-20T00:00:00"/>
    <s v="INV2983"/>
    <s v="Cust_339"/>
    <s v="N/A"/>
    <x v="1"/>
    <x v="0"/>
    <x v="17"/>
    <n v="44"/>
    <n v="3499"/>
    <n v="153956"/>
    <x v="0"/>
    <x v="2"/>
  </r>
  <r>
    <d v="2024-09-23T00:00:00"/>
    <s v="INV2988"/>
    <s v="Cust_80"/>
    <s v="Male"/>
    <x v="4"/>
    <x v="0"/>
    <x v="8"/>
    <n v="4"/>
    <n v="3499"/>
    <n v="13996"/>
    <x v="2"/>
    <x v="3"/>
  </r>
  <r>
    <d v="2024-07-25T00:00:00"/>
    <s v="INV2989"/>
    <s v="Cust_63"/>
    <s v="Female"/>
    <x v="3"/>
    <x v="2"/>
    <x v="4"/>
    <n v="36"/>
    <n v="2999"/>
    <n v="107964"/>
    <x v="2"/>
    <x v="2"/>
  </r>
  <r>
    <d v="2024-07-08T00:00:00"/>
    <s v="INV3001"/>
    <s v="Cust_335"/>
    <s v="Male"/>
    <x v="4"/>
    <x v="3"/>
    <x v="15"/>
    <n v="43"/>
    <n v="999"/>
    <n v="42957"/>
    <x v="1"/>
    <x v="2"/>
  </r>
  <r>
    <d v="2024-05-07T00:00:00"/>
    <s v="INV3024"/>
    <s v="Cust_8"/>
    <s v="N/A"/>
    <x v="0"/>
    <x v="2"/>
    <x v="19"/>
    <n v="25"/>
    <n v="2999"/>
    <n v="74975"/>
    <x v="0"/>
    <x v="1"/>
  </r>
  <r>
    <d v="2024-06-21T00:00:00"/>
    <s v="INV3037"/>
    <s v="Cust_330"/>
    <s v="Female"/>
    <x v="0"/>
    <x v="3"/>
    <x v="15"/>
    <n v="23"/>
    <n v="1499"/>
    <n v="34477"/>
    <x v="3"/>
    <x v="0"/>
  </r>
  <r>
    <d v="2024-12-25T00:00:00"/>
    <s v="INV3041"/>
    <s v="Cust_86"/>
    <s v="N/A"/>
    <x v="3"/>
    <x v="1"/>
    <x v="18"/>
    <n v="5"/>
    <n v="999"/>
    <n v="4995"/>
    <x v="0"/>
    <x v="0"/>
  </r>
  <r>
    <d v="2024-12-30T00:00:00"/>
    <s v="INV3045"/>
    <s v="Cust_7"/>
    <s v="Male"/>
    <x v="4"/>
    <x v="2"/>
    <x v="4"/>
    <n v="7"/>
    <n v="999"/>
    <n v="6993"/>
    <x v="0"/>
    <x v="0"/>
  </r>
  <r>
    <d v="2024-04-27T00:00:00"/>
    <s v="INV3060"/>
    <s v="Cust_82"/>
    <s v="N/A"/>
    <x v="4"/>
    <x v="2"/>
    <x v="7"/>
    <n v="10"/>
    <n v="1499"/>
    <n v="14990"/>
    <x v="1"/>
    <x v="2"/>
  </r>
  <r>
    <d v="2024-11-01T00:00:00"/>
    <s v="INV3063"/>
    <s v="Cust_318"/>
    <s v="Male"/>
    <x v="4"/>
    <x v="0"/>
    <x v="17"/>
    <n v="22"/>
    <n v="2499"/>
    <n v="54978"/>
    <x v="0"/>
    <x v="4"/>
  </r>
  <r>
    <d v="2024-09-08T00:00:00"/>
    <s v="INV3073"/>
    <s v="Cust_267"/>
    <s v="Male"/>
    <x v="1"/>
    <x v="3"/>
    <x v="15"/>
    <n v="0"/>
    <n v="3499"/>
    <n v="0"/>
    <x v="0"/>
    <x v="0"/>
  </r>
  <r>
    <d v="2024-10-30T00:00:00"/>
    <s v="INV3085"/>
    <s v="Cust_211"/>
    <s v="Male"/>
    <x v="1"/>
    <x v="1"/>
    <x v="1"/>
    <n v="9"/>
    <n v="1838"/>
    <n v="16542"/>
    <x v="3"/>
    <x v="2"/>
  </r>
  <r>
    <d v="2024-08-11T00:00:00"/>
    <s v="INV3088"/>
    <s v="Cust_188"/>
    <s v="N/A"/>
    <x v="2"/>
    <x v="3"/>
    <x v="3"/>
    <n v="4"/>
    <n v="999"/>
    <n v="3996"/>
    <x v="0"/>
    <x v="2"/>
  </r>
  <r>
    <d v="2024-01-09T00:00:00"/>
    <s v="INV3091"/>
    <s v="Cust_186"/>
    <s v="Female"/>
    <x v="2"/>
    <x v="0"/>
    <x v="0"/>
    <n v="12"/>
    <n v="2999"/>
    <n v="35988"/>
    <x v="3"/>
    <x v="3"/>
  </r>
  <r>
    <d v="2024-01-05T00:00:00"/>
    <s v="INV3103"/>
    <s v="Cust_303"/>
    <s v="N/A"/>
    <x v="1"/>
    <x v="2"/>
    <x v="4"/>
    <n v="3"/>
    <n v="999"/>
    <n v="2997"/>
    <x v="1"/>
    <x v="1"/>
  </r>
  <r>
    <d v="2024-05-29T00:00:00"/>
    <s v="INV3143"/>
    <s v="Cust_202"/>
    <s v="N/A"/>
    <x v="1"/>
    <x v="0"/>
    <x v="16"/>
    <n v="36"/>
    <n v="1499"/>
    <n v="53964"/>
    <x v="3"/>
    <x v="0"/>
  </r>
  <r>
    <d v="2024-02-16T00:00:00"/>
    <s v="INV3144"/>
    <s v="Cust_73"/>
    <s v="Female"/>
    <x v="3"/>
    <x v="3"/>
    <x v="15"/>
    <n v="3"/>
    <n v="1624"/>
    <n v="4872"/>
    <x v="0"/>
    <x v="2"/>
  </r>
  <r>
    <d v="2024-11-11T00:00:00"/>
    <s v="INV3146"/>
    <s v="Cust_148"/>
    <s v="Male"/>
    <x v="0"/>
    <x v="4"/>
    <x v="11"/>
    <n v="30"/>
    <n v="199"/>
    <n v="5970"/>
    <x v="2"/>
    <x v="4"/>
  </r>
  <r>
    <d v="2024-08-15T00:00:00"/>
    <s v="INV3153"/>
    <s v="Cust_268"/>
    <s v="Female"/>
    <x v="3"/>
    <x v="0"/>
    <x v="0"/>
    <n v="10"/>
    <n v="3499"/>
    <n v="34990"/>
    <x v="1"/>
    <x v="4"/>
  </r>
  <r>
    <d v="2024-08-14T00:00:00"/>
    <s v="INV3165"/>
    <s v="Cust_56"/>
    <s v="Male"/>
    <x v="3"/>
    <x v="3"/>
    <x v="5"/>
    <n v="36"/>
    <n v="2499"/>
    <n v="89964"/>
    <x v="1"/>
    <x v="4"/>
  </r>
  <r>
    <d v="2024-09-24T00:00:00"/>
    <s v="INV3167"/>
    <s v="Cust_131"/>
    <s v="Male"/>
    <x v="2"/>
    <x v="0"/>
    <x v="0"/>
    <n v="29"/>
    <n v="3499"/>
    <n v="101471"/>
    <x v="1"/>
    <x v="0"/>
  </r>
  <r>
    <d v="2024-12-17T00:00:00"/>
    <s v="INV3170"/>
    <s v="Cust_227"/>
    <s v="Male"/>
    <x v="1"/>
    <x v="1"/>
    <x v="10"/>
    <n v="42"/>
    <n v="2999"/>
    <n v="125958"/>
    <x v="1"/>
    <x v="0"/>
  </r>
  <r>
    <d v="2024-08-16T00:00:00"/>
    <s v="INV3184"/>
    <s v="Cust_198"/>
    <s v="N/A"/>
    <x v="0"/>
    <x v="3"/>
    <x v="5"/>
    <n v="40"/>
    <n v="499"/>
    <n v="19960"/>
    <x v="2"/>
    <x v="2"/>
  </r>
  <r>
    <d v="2024-05-23T00:00:00"/>
    <s v="INV3200"/>
    <s v="Cust_216"/>
    <s v="N/A"/>
    <x v="3"/>
    <x v="1"/>
    <x v="10"/>
    <n v="47"/>
    <n v="1838"/>
    <n v="86386"/>
    <x v="0"/>
    <x v="2"/>
  </r>
  <r>
    <d v="2024-04-12T00:00:00"/>
    <s v="INV3222"/>
    <s v="Cust_231"/>
    <s v="Female"/>
    <x v="0"/>
    <x v="2"/>
    <x v="2"/>
    <n v="6"/>
    <n v="1999"/>
    <n v="11994"/>
    <x v="0"/>
    <x v="1"/>
  </r>
  <r>
    <d v="2024-09-09T00:00:00"/>
    <s v="INV3223"/>
    <s v="Cust_311"/>
    <s v="Female"/>
    <x v="0"/>
    <x v="2"/>
    <x v="2"/>
    <n v="6"/>
    <n v="999"/>
    <n v="5994"/>
    <x v="0"/>
    <x v="2"/>
  </r>
  <r>
    <d v="2024-08-27T00:00:00"/>
    <s v="INV3236"/>
    <s v="Cust_27"/>
    <s v="Female"/>
    <x v="3"/>
    <x v="2"/>
    <x v="4"/>
    <n v="5"/>
    <n v="1845"/>
    <n v="9225"/>
    <x v="1"/>
    <x v="2"/>
  </r>
  <r>
    <d v="2024-07-25T00:00:00"/>
    <s v="INV3240"/>
    <s v="Cust_195"/>
    <s v="Female"/>
    <x v="2"/>
    <x v="0"/>
    <x v="17"/>
    <n v="11"/>
    <n v="1999"/>
    <n v="21989"/>
    <x v="3"/>
    <x v="1"/>
  </r>
  <r>
    <d v="2024-12-01T00:00:00"/>
    <s v="INV3267"/>
    <s v="Cust_383"/>
    <s v="Male"/>
    <x v="3"/>
    <x v="1"/>
    <x v="18"/>
    <n v="2"/>
    <n v="1838"/>
    <n v="3676"/>
    <x v="1"/>
    <x v="2"/>
  </r>
  <r>
    <d v="2024-03-22T00:00:00"/>
    <s v="INV3286"/>
    <s v="Cust_387"/>
    <s v="Male"/>
    <x v="1"/>
    <x v="3"/>
    <x v="3"/>
    <n v="27"/>
    <n v="499"/>
    <n v="13473"/>
    <x v="0"/>
    <x v="2"/>
  </r>
  <r>
    <d v="2024-02-08T00:00:00"/>
    <s v="INV3290"/>
    <s v="Cust_354"/>
    <s v="Male"/>
    <x v="3"/>
    <x v="2"/>
    <x v="4"/>
    <n v="11"/>
    <n v="1499"/>
    <n v="16489"/>
    <x v="1"/>
    <x v="2"/>
  </r>
  <r>
    <d v="2024-04-21T00:00:00"/>
    <s v="INV3296"/>
    <s v="Cust_158"/>
    <s v="N/A"/>
    <x v="1"/>
    <x v="2"/>
    <x v="7"/>
    <n v="3"/>
    <n v="999"/>
    <n v="2997"/>
    <x v="1"/>
    <x v="0"/>
  </r>
  <r>
    <d v="2024-12-12T00:00:00"/>
    <s v="INV3306"/>
    <s v="Cust_247"/>
    <s v="Male"/>
    <x v="2"/>
    <x v="4"/>
    <x v="11"/>
    <n v="48"/>
    <n v="1749"/>
    <n v="83952"/>
    <x v="2"/>
    <x v="3"/>
  </r>
  <r>
    <d v="2024-04-13T00:00:00"/>
    <s v="INV3330"/>
    <s v="Cust_166"/>
    <s v="Female"/>
    <x v="3"/>
    <x v="4"/>
    <x v="6"/>
    <n v="2"/>
    <n v="1749"/>
    <n v="3498"/>
    <x v="1"/>
    <x v="0"/>
  </r>
  <r>
    <d v="2024-05-23T00:00:00"/>
    <s v="INV3340"/>
    <s v="Cust_287"/>
    <s v="Male"/>
    <x v="2"/>
    <x v="3"/>
    <x v="12"/>
    <n v="47"/>
    <n v="199"/>
    <n v="9353"/>
    <x v="0"/>
    <x v="0"/>
  </r>
  <r>
    <d v="2024-09-08T00:00:00"/>
    <s v="INV3344"/>
    <s v="Cust_324"/>
    <s v="Male"/>
    <x v="1"/>
    <x v="2"/>
    <x v="19"/>
    <n v="30"/>
    <n v="3499"/>
    <n v="104970"/>
    <x v="3"/>
    <x v="1"/>
  </r>
  <r>
    <d v="2024-02-22T00:00:00"/>
    <s v="INV3361"/>
    <s v="Cust_257"/>
    <s v="Female"/>
    <x v="2"/>
    <x v="3"/>
    <x v="3"/>
    <n v="32"/>
    <n v="2499"/>
    <n v="79968"/>
    <x v="0"/>
    <x v="2"/>
  </r>
  <r>
    <d v="2024-01-22T00:00:00"/>
    <s v="INV3369"/>
    <s v="Cust_66"/>
    <s v="N/A"/>
    <x v="3"/>
    <x v="4"/>
    <x v="14"/>
    <n v="42"/>
    <n v="999"/>
    <n v="41958"/>
    <x v="0"/>
    <x v="1"/>
  </r>
  <r>
    <d v="2024-11-15T00:00:00"/>
    <s v="INV3385"/>
    <s v="Cust_202"/>
    <s v="N/A"/>
    <x v="2"/>
    <x v="0"/>
    <x v="16"/>
    <n v="10"/>
    <n v="2499"/>
    <n v="24990"/>
    <x v="0"/>
    <x v="2"/>
  </r>
  <r>
    <d v="2024-08-18T00:00:00"/>
    <s v="INV3414"/>
    <s v="Cust_349"/>
    <s v="Female"/>
    <x v="1"/>
    <x v="2"/>
    <x v="4"/>
    <n v="44"/>
    <n v="3499"/>
    <n v="153956"/>
    <x v="3"/>
    <x v="0"/>
  </r>
  <r>
    <d v="2024-10-08T00:00:00"/>
    <s v="INV3417"/>
    <s v="Cust_168"/>
    <s v="Female"/>
    <x v="2"/>
    <x v="2"/>
    <x v="19"/>
    <n v="35"/>
    <n v="199"/>
    <n v="6965"/>
    <x v="3"/>
    <x v="4"/>
  </r>
  <r>
    <d v="2024-01-30T00:00:00"/>
    <s v="INV3426"/>
    <s v="Cust_107"/>
    <s v="Female"/>
    <x v="2"/>
    <x v="4"/>
    <x v="13"/>
    <n v="18"/>
    <n v="2999"/>
    <n v="53982"/>
    <x v="0"/>
    <x v="2"/>
  </r>
  <r>
    <d v="2024-08-20T00:00:00"/>
    <s v="INV3434"/>
    <s v="Cust_100"/>
    <s v="N/A"/>
    <x v="1"/>
    <x v="4"/>
    <x v="13"/>
    <n v="36"/>
    <n v="1749"/>
    <n v="62964"/>
    <x v="0"/>
    <x v="2"/>
  </r>
  <r>
    <d v="2024-11-03T00:00:00"/>
    <s v="INV3441"/>
    <s v="Cust_201"/>
    <s v="Male"/>
    <x v="1"/>
    <x v="1"/>
    <x v="9"/>
    <n v="3"/>
    <n v="1499"/>
    <n v="4497"/>
    <x v="0"/>
    <x v="0"/>
  </r>
  <r>
    <d v="2024-07-17T00:00:00"/>
    <s v="INV3444"/>
    <s v="Cust_156"/>
    <s v="Female"/>
    <x v="1"/>
    <x v="2"/>
    <x v="4"/>
    <n v="4"/>
    <n v="1845"/>
    <n v="7380"/>
    <x v="3"/>
    <x v="0"/>
  </r>
  <r>
    <d v="2024-08-26T00:00:00"/>
    <s v="INV3471"/>
    <s v="Cust_62"/>
    <s v="Male"/>
    <x v="0"/>
    <x v="2"/>
    <x v="7"/>
    <n v="8"/>
    <n v="3499"/>
    <n v="27992"/>
    <x v="3"/>
    <x v="1"/>
  </r>
  <r>
    <d v="2024-05-25T00:00:00"/>
    <s v="INV3485"/>
    <s v="Cust_12"/>
    <s v="Male"/>
    <x v="1"/>
    <x v="1"/>
    <x v="9"/>
    <n v="33"/>
    <n v="2999"/>
    <n v="98967"/>
    <x v="0"/>
    <x v="4"/>
  </r>
  <r>
    <d v="2024-07-25T00:00:00"/>
    <s v="INV3492"/>
    <s v="Cust_12"/>
    <s v="Male"/>
    <x v="4"/>
    <x v="3"/>
    <x v="5"/>
    <n v="2"/>
    <n v="2499"/>
    <n v="4998"/>
    <x v="1"/>
    <x v="1"/>
  </r>
  <r>
    <d v="2024-02-29T00:00:00"/>
    <s v="INV3496"/>
    <s v="Cust_215"/>
    <s v="Male"/>
    <x v="3"/>
    <x v="1"/>
    <x v="10"/>
    <n v="2"/>
    <n v="999"/>
    <n v="1998"/>
    <x v="0"/>
    <x v="0"/>
  </r>
  <r>
    <d v="2024-03-02T00:00:00"/>
    <s v="INV3503"/>
    <s v="Cust_216"/>
    <s v="N/A"/>
    <x v="2"/>
    <x v="1"/>
    <x v="9"/>
    <n v="23"/>
    <n v="3499"/>
    <n v="80477"/>
    <x v="3"/>
    <x v="1"/>
  </r>
  <r>
    <d v="2024-11-24T00:00:00"/>
    <s v="INV3506"/>
    <s v="Cust_392"/>
    <s v="Female"/>
    <x v="2"/>
    <x v="4"/>
    <x v="11"/>
    <n v="7"/>
    <n v="1999"/>
    <n v="13993"/>
    <x v="1"/>
    <x v="3"/>
  </r>
  <r>
    <d v="2024-09-10T00:00:00"/>
    <s v="INV3522"/>
    <s v="Cust_297"/>
    <s v="Male"/>
    <x v="3"/>
    <x v="4"/>
    <x v="6"/>
    <n v="32"/>
    <n v="2999"/>
    <n v="95968"/>
    <x v="0"/>
    <x v="4"/>
  </r>
  <r>
    <d v="2024-03-18T00:00:00"/>
    <s v="INV3529"/>
    <s v="Cust_115"/>
    <s v="N/A"/>
    <x v="2"/>
    <x v="0"/>
    <x v="8"/>
    <n v="48"/>
    <n v="3499"/>
    <n v="167952"/>
    <x v="0"/>
    <x v="2"/>
  </r>
  <r>
    <d v="2024-07-12T00:00:00"/>
    <s v="INV3531"/>
    <s v="Cust_234"/>
    <s v="Female"/>
    <x v="1"/>
    <x v="0"/>
    <x v="17"/>
    <n v="30"/>
    <n v="499"/>
    <n v="14970"/>
    <x v="2"/>
    <x v="1"/>
  </r>
  <r>
    <d v="2024-05-15T00:00:00"/>
    <s v="INV3532"/>
    <s v="Cust_269"/>
    <s v="Male"/>
    <x v="1"/>
    <x v="3"/>
    <x v="12"/>
    <n v="49"/>
    <n v="999"/>
    <n v="48951"/>
    <x v="0"/>
    <x v="4"/>
  </r>
  <r>
    <d v="2024-08-14T00:00:00"/>
    <s v="INV3536"/>
    <s v="Cust_17"/>
    <s v="N/A"/>
    <x v="1"/>
    <x v="2"/>
    <x v="7"/>
    <n v="24"/>
    <n v="3499"/>
    <n v="83976"/>
    <x v="1"/>
    <x v="0"/>
  </r>
  <r>
    <d v="2024-02-20T00:00:00"/>
    <s v="INV3546"/>
    <s v="Cust_7"/>
    <s v="Female"/>
    <x v="1"/>
    <x v="0"/>
    <x v="8"/>
    <n v="45"/>
    <n v="1499"/>
    <n v="67455"/>
    <x v="0"/>
    <x v="4"/>
  </r>
  <r>
    <d v="2024-07-13T00:00:00"/>
    <s v="INV3547"/>
    <s v="Cust_332"/>
    <s v="Male"/>
    <x v="3"/>
    <x v="1"/>
    <x v="18"/>
    <n v="8"/>
    <n v="2499"/>
    <n v="19992"/>
    <x v="0"/>
    <x v="2"/>
  </r>
  <r>
    <d v="2024-06-24T00:00:00"/>
    <s v="INV3564"/>
    <s v="Cust_13"/>
    <s v="Female"/>
    <x v="2"/>
    <x v="3"/>
    <x v="5"/>
    <n v="30"/>
    <n v="1999"/>
    <n v="59970"/>
    <x v="1"/>
    <x v="2"/>
  </r>
  <r>
    <d v="2024-05-31T00:00:00"/>
    <s v="INV3573"/>
    <s v="Cust_155"/>
    <s v="Female"/>
    <x v="1"/>
    <x v="1"/>
    <x v="9"/>
    <n v="34"/>
    <n v="499"/>
    <n v="16966"/>
    <x v="0"/>
    <x v="2"/>
  </r>
  <r>
    <d v="2024-11-08T00:00:00"/>
    <s v="INV3579"/>
    <s v="Cust_75"/>
    <s v="N/A"/>
    <x v="3"/>
    <x v="4"/>
    <x v="11"/>
    <n v="6"/>
    <n v="1999"/>
    <n v="11994"/>
    <x v="1"/>
    <x v="4"/>
  </r>
  <r>
    <d v="2024-03-29T00:00:00"/>
    <s v="INV3588"/>
    <s v="Cust_218"/>
    <s v="Female"/>
    <x v="0"/>
    <x v="2"/>
    <x v="19"/>
    <n v="32"/>
    <n v="1999"/>
    <n v="63968"/>
    <x v="0"/>
    <x v="2"/>
  </r>
  <r>
    <d v="2024-03-09T00:00:00"/>
    <s v="INV3591"/>
    <s v="Cust_151"/>
    <s v="Female"/>
    <x v="0"/>
    <x v="0"/>
    <x v="8"/>
    <n v="41"/>
    <n v="999"/>
    <n v="40959"/>
    <x v="0"/>
    <x v="0"/>
  </r>
  <r>
    <d v="2024-10-14T00:00:00"/>
    <s v="INV3594"/>
    <s v="Cust_37"/>
    <s v="Female"/>
    <x v="3"/>
    <x v="4"/>
    <x v="6"/>
    <n v="44"/>
    <n v="999"/>
    <n v="43956"/>
    <x v="0"/>
    <x v="3"/>
  </r>
  <r>
    <d v="2024-04-10T00:00:00"/>
    <s v="INV3607"/>
    <s v="Cust_174"/>
    <s v="Male"/>
    <x v="3"/>
    <x v="1"/>
    <x v="18"/>
    <n v="10"/>
    <n v="199"/>
    <n v="1990"/>
    <x v="0"/>
    <x v="0"/>
  </r>
  <r>
    <d v="2024-03-29T00:00:00"/>
    <s v="INV3615"/>
    <s v="Cust_299"/>
    <s v="Female"/>
    <x v="0"/>
    <x v="2"/>
    <x v="7"/>
    <n v="11"/>
    <n v="2499"/>
    <n v="27489"/>
    <x v="0"/>
    <x v="0"/>
  </r>
  <r>
    <d v="2024-02-16T00:00:00"/>
    <s v="INV3621"/>
    <s v="Cust_303"/>
    <s v="Female"/>
    <x v="1"/>
    <x v="0"/>
    <x v="17"/>
    <n v="44"/>
    <n v="1878"/>
    <n v="82632"/>
    <x v="0"/>
    <x v="1"/>
  </r>
  <r>
    <d v="2024-04-13T00:00:00"/>
    <s v="INV3634"/>
    <s v="Cust_163"/>
    <s v="N/A"/>
    <x v="3"/>
    <x v="4"/>
    <x v="13"/>
    <n v="16"/>
    <n v="2499"/>
    <n v="39984"/>
    <x v="0"/>
    <x v="4"/>
  </r>
  <r>
    <d v="2024-11-25T00:00:00"/>
    <s v="INV3646"/>
    <s v="Cust_375"/>
    <s v="N/A"/>
    <x v="1"/>
    <x v="1"/>
    <x v="9"/>
    <n v="34"/>
    <n v="2499"/>
    <n v="84966"/>
    <x v="3"/>
    <x v="2"/>
  </r>
  <r>
    <d v="2024-11-03T00:00:00"/>
    <s v="INV3647"/>
    <s v="Cust_24"/>
    <s v="Male"/>
    <x v="3"/>
    <x v="1"/>
    <x v="1"/>
    <n v="32"/>
    <n v="1499"/>
    <n v="47968"/>
    <x v="0"/>
    <x v="3"/>
  </r>
  <r>
    <d v="2024-06-18T00:00:00"/>
    <s v="INV3662"/>
    <s v="Cust_111"/>
    <s v="Female"/>
    <x v="1"/>
    <x v="0"/>
    <x v="16"/>
    <n v="2"/>
    <n v="1878"/>
    <n v="3756"/>
    <x v="2"/>
    <x v="2"/>
  </r>
  <r>
    <d v="2024-12-14T00:00:00"/>
    <s v="INV3664"/>
    <s v="Cust_375"/>
    <s v="Female"/>
    <x v="3"/>
    <x v="2"/>
    <x v="4"/>
    <n v="19"/>
    <n v="199"/>
    <n v="3781"/>
    <x v="1"/>
    <x v="3"/>
  </r>
  <r>
    <d v="2024-02-08T00:00:00"/>
    <s v="INV3677"/>
    <s v="Cust_181"/>
    <s v="N/A"/>
    <x v="3"/>
    <x v="2"/>
    <x v="2"/>
    <n v="4"/>
    <n v="999"/>
    <n v="3996"/>
    <x v="1"/>
    <x v="1"/>
  </r>
  <r>
    <d v="2024-09-13T00:00:00"/>
    <s v="INV3683"/>
    <s v="Cust_4"/>
    <s v="Male"/>
    <x v="0"/>
    <x v="1"/>
    <x v="1"/>
    <n v="18"/>
    <n v="2499"/>
    <n v="44982"/>
    <x v="0"/>
    <x v="2"/>
  </r>
  <r>
    <d v="2024-08-14T00:00:00"/>
    <s v="INV3695"/>
    <s v="Cust_98"/>
    <s v="Female"/>
    <x v="1"/>
    <x v="3"/>
    <x v="5"/>
    <n v="24"/>
    <n v="1499"/>
    <n v="35976"/>
    <x v="2"/>
    <x v="2"/>
  </r>
  <r>
    <d v="2024-05-11T00:00:00"/>
    <s v="INV3697"/>
    <s v="Cust_107"/>
    <s v="Male"/>
    <x v="3"/>
    <x v="3"/>
    <x v="12"/>
    <n v="5"/>
    <n v="2499"/>
    <n v="12495"/>
    <x v="3"/>
    <x v="1"/>
  </r>
  <r>
    <d v="2024-12-16T00:00:00"/>
    <s v="INV3704"/>
    <s v="Cust_280"/>
    <s v="N/A"/>
    <x v="1"/>
    <x v="3"/>
    <x v="3"/>
    <n v="31"/>
    <n v="999"/>
    <n v="30969"/>
    <x v="3"/>
    <x v="2"/>
  </r>
  <r>
    <d v="2024-02-17T00:00:00"/>
    <s v="INV3705"/>
    <s v="Cust_17"/>
    <s v="Male"/>
    <x v="3"/>
    <x v="4"/>
    <x v="6"/>
    <n v="7"/>
    <n v="999"/>
    <n v="6993"/>
    <x v="1"/>
    <x v="4"/>
  </r>
  <r>
    <d v="2024-02-04T00:00:00"/>
    <s v="INV3718"/>
    <s v="Cust_339"/>
    <s v="Male"/>
    <x v="4"/>
    <x v="3"/>
    <x v="5"/>
    <n v="12"/>
    <n v="199"/>
    <n v="2388"/>
    <x v="3"/>
    <x v="2"/>
  </r>
  <r>
    <d v="2024-04-08T00:00:00"/>
    <s v="INV3724"/>
    <s v="Cust_158"/>
    <s v="N/A"/>
    <x v="4"/>
    <x v="1"/>
    <x v="9"/>
    <n v="26"/>
    <n v="2999"/>
    <n v="77974"/>
    <x v="2"/>
    <x v="1"/>
  </r>
  <r>
    <d v="2024-08-08T00:00:00"/>
    <s v="INV3749"/>
    <s v="Cust_284"/>
    <s v="Male"/>
    <x v="1"/>
    <x v="4"/>
    <x v="11"/>
    <n v="38"/>
    <n v="1499"/>
    <n v="56962"/>
    <x v="0"/>
    <x v="1"/>
  </r>
  <r>
    <d v="2024-12-14T00:00:00"/>
    <s v="INV3780"/>
    <s v="Cust_324"/>
    <s v="Female"/>
    <x v="1"/>
    <x v="2"/>
    <x v="2"/>
    <n v="38"/>
    <n v="3499"/>
    <n v="132962"/>
    <x v="2"/>
    <x v="2"/>
  </r>
  <r>
    <d v="2024-09-29T00:00:00"/>
    <s v="INV3785"/>
    <s v="Cust_38"/>
    <s v="Female"/>
    <x v="4"/>
    <x v="4"/>
    <x v="13"/>
    <n v="49"/>
    <n v="2499"/>
    <n v="122451"/>
    <x v="1"/>
    <x v="2"/>
  </r>
  <r>
    <d v="2024-07-06T00:00:00"/>
    <s v="INV3803"/>
    <s v="Cust_1"/>
    <s v="Female"/>
    <x v="1"/>
    <x v="3"/>
    <x v="12"/>
    <n v="4"/>
    <n v="1499"/>
    <n v="5996"/>
    <x v="3"/>
    <x v="2"/>
  </r>
  <r>
    <d v="2024-02-05T00:00:00"/>
    <s v="INV3847"/>
    <s v="Cust_260"/>
    <s v="Male"/>
    <x v="2"/>
    <x v="2"/>
    <x v="4"/>
    <n v="32"/>
    <n v="199"/>
    <n v="6368"/>
    <x v="3"/>
    <x v="2"/>
  </r>
  <r>
    <d v="2024-05-03T00:00:00"/>
    <s v="INV3851"/>
    <s v="Cust_69"/>
    <s v="Female"/>
    <x v="3"/>
    <x v="0"/>
    <x v="0"/>
    <n v="2"/>
    <n v="1999"/>
    <n v="3998"/>
    <x v="3"/>
    <x v="3"/>
  </r>
  <r>
    <d v="2024-02-23T00:00:00"/>
    <s v="INV3868"/>
    <s v="Cust_371"/>
    <s v="Female"/>
    <x v="1"/>
    <x v="0"/>
    <x v="17"/>
    <n v="19"/>
    <n v="3499"/>
    <n v="66481"/>
    <x v="2"/>
    <x v="1"/>
  </r>
  <r>
    <d v="2024-05-01T00:00:00"/>
    <s v="INV3870"/>
    <s v="Cust_55"/>
    <s v="Female"/>
    <x v="4"/>
    <x v="0"/>
    <x v="17"/>
    <n v="21"/>
    <n v="1999"/>
    <n v="41979"/>
    <x v="0"/>
    <x v="2"/>
  </r>
  <r>
    <d v="2024-08-26T00:00:00"/>
    <s v="INV3877"/>
    <s v="Cust_313"/>
    <s v="Male"/>
    <x v="4"/>
    <x v="2"/>
    <x v="4"/>
    <n v="2"/>
    <n v="1845"/>
    <n v="3690"/>
    <x v="1"/>
    <x v="2"/>
  </r>
  <r>
    <d v="2024-11-26T00:00:00"/>
    <s v="INV3881"/>
    <s v="Cust_239"/>
    <s v="N/A"/>
    <x v="3"/>
    <x v="4"/>
    <x v="6"/>
    <n v="48"/>
    <n v="2499"/>
    <n v="119952"/>
    <x v="0"/>
    <x v="2"/>
  </r>
  <r>
    <d v="2024-05-12T00:00:00"/>
    <s v="INV3885"/>
    <s v="Cust_26"/>
    <s v="Female"/>
    <x v="4"/>
    <x v="3"/>
    <x v="3"/>
    <n v="29"/>
    <n v="1499"/>
    <n v="43471"/>
    <x v="0"/>
    <x v="2"/>
  </r>
  <r>
    <d v="2024-10-06T00:00:00"/>
    <s v="INV3900"/>
    <s v="Cust_1"/>
    <s v="N/A"/>
    <x v="0"/>
    <x v="2"/>
    <x v="19"/>
    <n v="10"/>
    <n v="2999"/>
    <n v="29990"/>
    <x v="0"/>
    <x v="2"/>
  </r>
  <r>
    <d v="2024-10-25T00:00:00"/>
    <s v="INV3925"/>
    <s v="Cust_161"/>
    <s v="N/A"/>
    <x v="3"/>
    <x v="3"/>
    <x v="5"/>
    <n v="49"/>
    <n v="3499"/>
    <n v="171451"/>
    <x v="1"/>
    <x v="2"/>
  </r>
  <r>
    <d v="2024-04-21T00:00:00"/>
    <s v="INV3927"/>
    <s v="Cust_261"/>
    <s v="Female"/>
    <x v="3"/>
    <x v="3"/>
    <x v="12"/>
    <n v="45"/>
    <n v="3499"/>
    <n v="157455"/>
    <x v="0"/>
    <x v="4"/>
  </r>
  <r>
    <d v="2024-03-20T00:00:00"/>
    <s v="INV3938"/>
    <s v="Cust_251"/>
    <s v="Female"/>
    <x v="2"/>
    <x v="4"/>
    <x v="14"/>
    <n v="39"/>
    <n v="2999"/>
    <n v="116961"/>
    <x v="0"/>
    <x v="0"/>
  </r>
  <r>
    <d v="2024-08-23T00:00:00"/>
    <s v="INV3939"/>
    <s v="Cust_9"/>
    <s v="Male"/>
    <x v="1"/>
    <x v="2"/>
    <x v="7"/>
    <n v="41"/>
    <n v="1999"/>
    <n v="81959"/>
    <x v="1"/>
    <x v="1"/>
  </r>
  <r>
    <d v="2024-04-05T00:00:00"/>
    <s v="INV3950"/>
    <s v="Cust_288"/>
    <s v="Female"/>
    <x v="0"/>
    <x v="4"/>
    <x v="14"/>
    <n v="46"/>
    <n v="1499"/>
    <n v="68954"/>
    <x v="0"/>
    <x v="0"/>
  </r>
  <r>
    <d v="2024-04-25T00:00:00"/>
    <s v="INV3973"/>
    <s v="Cust_311"/>
    <s v="N/A"/>
    <x v="1"/>
    <x v="2"/>
    <x v="4"/>
    <n v="33"/>
    <n v="1499"/>
    <n v="49467"/>
    <x v="2"/>
    <x v="2"/>
  </r>
  <r>
    <d v="2024-02-20T00:00:00"/>
    <s v="INV3977"/>
    <s v="Cust_270"/>
    <s v="Female"/>
    <x v="3"/>
    <x v="3"/>
    <x v="5"/>
    <n v="8"/>
    <n v="999"/>
    <n v="7992"/>
    <x v="1"/>
    <x v="0"/>
  </r>
  <r>
    <d v="2024-06-29T00:00:00"/>
    <s v="INV3979"/>
    <s v="Cust_73"/>
    <s v="N/A"/>
    <x v="3"/>
    <x v="0"/>
    <x v="8"/>
    <n v="15"/>
    <n v="999"/>
    <n v="14985"/>
    <x v="0"/>
    <x v="2"/>
  </r>
  <r>
    <d v="2024-07-08T00:00:00"/>
    <s v="INV4006"/>
    <s v="Cust_73"/>
    <s v="Male"/>
    <x v="3"/>
    <x v="0"/>
    <x v="8"/>
    <n v="38"/>
    <n v="499"/>
    <n v="18962"/>
    <x v="0"/>
    <x v="3"/>
  </r>
  <r>
    <d v="2024-11-17T00:00:00"/>
    <s v="INV4020"/>
    <s v="Cust_349"/>
    <s v="Female"/>
    <x v="3"/>
    <x v="3"/>
    <x v="12"/>
    <n v="35"/>
    <n v="999"/>
    <n v="34965"/>
    <x v="0"/>
    <x v="0"/>
  </r>
  <r>
    <d v="2024-12-06T00:00:00"/>
    <s v="INV4033"/>
    <s v="Cust_264"/>
    <s v="Male"/>
    <x v="1"/>
    <x v="2"/>
    <x v="4"/>
    <n v="36"/>
    <n v="2999"/>
    <n v="107964"/>
    <x v="0"/>
    <x v="3"/>
  </r>
  <r>
    <d v="2024-12-13T00:00:00"/>
    <s v="INV4044"/>
    <s v="Cust_146"/>
    <s v="Male"/>
    <x v="1"/>
    <x v="3"/>
    <x v="15"/>
    <n v="20"/>
    <n v="3499"/>
    <n v="69980"/>
    <x v="1"/>
    <x v="1"/>
  </r>
  <r>
    <d v="2024-09-08T00:00:00"/>
    <s v="INV4073"/>
    <s v="Cust_284"/>
    <s v="Male"/>
    <x v="3"/>
    <x v="0"/>
    <x v="0"/>
    <n v="16"/>
    <n v="1499"/>
    <n v="23984"/>
    <x v="0"/>
    <x v="4"/>
  </r>
  <r>
    <d v="2024-11-13T00:00:00"/>
    <s v="INV4090"/>
    <s v="Cust_17"/>
    <s v="Female"/>
    <x v="3"/>
    <x v="0"/>
    <x v="17"/>
    <n v="40"/>
    <n v="3499"/>
    <n v="139960"/>
    <x v="0"/>
    <x v="3"/>
  </r>
  <r>
    <d v="2024-06-18T00:00:00"/>
    <s v="INV4109"/>
    <s v="Cust_174"/>
    <s v="Female"/>
    <x v="2"/>
    <x v="2"/>
    <x v="4"/>
    <n v="3"/>
    <n v="999"/>
    <n v="2997"/>
    <x v="3"/>
    <x v="2"/>
  </r>
  <r>
    <d v="2024-08-16T00:00:00"/>
    <s v="INV4114"/>
    <s v="Cust_134"/>
    <s v="Female"/>
    <x v="3"/>
    <x v="3"/>
    <x v="12"/>
    <n v="17"/>
    <n v="3499"/>
    <n v="59483"/>
    <x v="0"/>
    <x v="4"/>
  </r>
  <r>
    <d v="2024-02-20T00:00:00"/>
    <s v="INV4115"/>
    <s v="Cust_370"/>
    <s v="Female"/>
    <x v="3"/>
    <x v="1"/>
    <x v="10"/>
    <n v="31"/>
    <n v="999"/>
    <n v="30969"/>
    <x v="0"/>
    <x v="0"/>
  </r>
  <r>
    <d v="2024-07-25T00:00:00"/>
    <s v="INV4116"/>
    <s v="Cust_171"/>
    <s v="N/A"/>
    <x v="3"/>
    <x v="3"/>
    <x v="3"/>
    <n v="22"/>
    <n v="2499"/>
    <n v="54978"/>
    <x v="1"/>
    <x v="2"/>
  </r>
  <r>
    <d v="2024-10-14T00:00:00"/>
    <s v="INV4119"/>
    <s v="Cust_80"/>
    <s v="Female"/>
    <x v="1"/>
    <x v="4"/>
    <x v="6"/>
    <n v="23"/>
    <n v="499"/>
    <n v="11477"/>
    <x v="1"/>
    <x v="2"/>
  </r>
  <r>
    <d v="2024-08-17T00:00:00"/>
    <s v="INV4122"/>
    <s v="Cust_134"/>
    <s v="Female"/>
    <x v="3"/>
    <x v="0"/>
    <x v="16"/>
    <n v="43"/>
    <n v="1878"/>
    <n v="80754"/>
    <x v="0"/>
    <x v="0"/>
  </r>
  <r>
    <d v="2024-04-14T00:00:00"/>
    <s v="INV4130"/>
    <s v="Cust_216"/>
    <s v="Female"/>
    <x v="0"/>
    <x v="2"/>
    <x v="2"/>
    <n v="3"/>
    <n v="499"/>
    <n v="1497"/>
    <x v="2"/>
    <x v="1"/>
  </r>
  <r>
    <d v="2024-10-10T00:00:00"/>
    <s v="INV4138"/>
    <s v="Cust_294"/>
    <s v="Female"/>
    <x v="1"/>
    <x v="0"/>
    <x v="8"/>
    <n v="23"/>
    <n v="2499"/>
    <n v="57477"/>
    <x v="0"/>
    <x v="3"/>
  </r>
  <r>
    <d v="2024-06-11T00:00:00"/>
    <s v="INV4139"/>
    <s v="Cust_52"/>
    <s v="N/A"/>
    <x v="4"/>
    <x v="2"/>
    <x v="7"/>
    <n v="2"/>
    <n v="3499"/>
    <n v="6998"/>
    <x v="0"/>
    <x v="2"/>
  </r>
  <r>
    <d v="2024-11-21T00:00:00"/>
    <s v="INV4143"/>
    <s v="Cust_123"/>
    <s v="Female"/>
    <x v="3"/>
    <x v="1"/>
    <x v="18"/>
    <n v="37"/>
    <n v="1499"/>
    <n v="55463"/>
    <x v="0"/>
    <x v="3"/>
  </r>
  <r>
    <d v="2024-01-10T00:00:00"/>
    <s v="INV4150"/>
    <s v="Cust_331"/>
    <s v="N/A"/>
    <x v="4"/>
    <x v="3"/>
    <x v="3"/>
    <n v="25"/>
    <n v="199"/>
    <n v="4975"/>
    <x v="0"/>
    <x v="1"/>
  </r>
  <r>
    <d v="2024-12-05T00:00:00"/>
    <s v="INV4155"/>
    <s v="Cust_59"/>
    <s v="Female"/>
    <x v="3"/>
    <x v="4"/>
    <x v="6"/>
    <n v="40"/>
    <n v="1999"/>
    <n v="79960"/>
    <x v="0"/>
    <x v="2"/>
  </r>
  <r>
    <d v="2024-06-22T00:00:00"/>
    <s v="INV4164"/>
    <s v="Cust_158"/>
    <s v="Male"/>
    <x v="3"/>
    <x v="3"/>
    <x v="15"/>
    <n v="41"/>
    <n v="1624"/>
    <n v="66584"/>
    <x v="1"/>
    <x v="2"/>
  </r>
  <r>
    <d v="2024-07-01T00:00:00"/>
    <s v="INV4180"/>
    <s v="Cust_242"/>
    <s v="Female"/>
    <x v="3"/>
    <x v="2"/>
    <x v="4"/>
    <n v="4"/>
    <n v="499"/>
    <n v="1996"/>
    <x v="2"/>
    <x v="1"/>
  </r>
  <r>
    <d v="2024-12-14T00:00:00"/>
    <s v="INV4185"/>
    <s v="Cust_98"/>
    <s v="Male"/>
    <x v="1"/>
    <x v="2"/>
    <x v="2"/>
    <n v="11"/>
    <n v="2499"/>
    <n v="27489"/>
    <x v="0"/>
    <x v="2"/>
  </r>
  <r>
    <d v="2024-10-01T00:00:00"/>
    <s v="INV4228"/>
    <s v="Cust_178"/>
    <s v="Female"/>
    <x v="3"/>
    <x v="4"/>
    <x v="11"/>
    <n v="21"/>
    <n v="3499"/>
    <n v="73479"/>
    <x v="0"/>
    <x v="2"/>
  </r>
  <r>
    <d v="2024-07-05T00:00:00"/>
    <s v="INV4241"/>
    <s v="Cust_177"/>
    <s v="N/A"/>
    <x v="3"/>
    <x v="0"/>
    <x v="0"/>
    <n v="20"/>
    <n v="1999"/>
    <n v="39980"/>
    <x v="0"/>
    <x v="1"/>
  </r>
  <r>
    <d v="2024-09-24T00:00:00"/>
    <s v="INV4249"/>
    <s v="Cust_29"/>
    <s v="Female"/>
    <x v="1"/>
    <x v="3"/>
    <x v="15"/>
    <n v="43"/>
    <n v="2999"/>
    <n v="128957"/>
    <x v="1"/>
    <x v="3"/>
  </r>
  <r>
    <d v="2024-10-03T00:00:00"/>
    <s v="INV4257"/>
    <s v="Cust_335"/>
    <s v="N/A"/>
    <x v="1"/>
    <x v="2"/>
    <x v="19"/>
    <n v="43"/>
    <n v="1499"/>
    <n v="64457"/>
    <x v="1"/>
    <x v="4"/>
  </r>
  <r>
    <d v="2024-01-18T00:00:00"/>
    <s v="INV4258"/>
    <s v="Cust_239"/>
    <s v="N/A"/>
    <x v="2"/>
    <x v="4"/>
    <x v="14"/>
    <n v="10"/>
    <n v="3499"/>
    <n v="34990"/>
    <x v="1"/>
    <x v="3"/>
  </r>
  <r>
    <d v="2024-10-22T00:00:00"/>
    <s v="INV4262"/>
    <s v="Cust_40"/>
    <s v="Male"/>
    <x v="3"/>
    <x v="0"/>
    <x v="17"/>
    <n v="3"/>
    <n v="999"/>
    <n v="2997"/>
    <x v="0"/>
    <x v="1"/>
  </r>
  <r>
    <d v="2024-06-28T00:00:00"/>
    <s v="INV4263"/>
    <s v="Cust_361"/>
    <s v="N/A"/>
    <x v="1"/>
    <x v="0"/>
    <x v="8"/>
    <n v="43"/>
    <n v="1499"/>
    <n v="64457"/>
    <x v="0"/>
    <x v="2"/>
  </r>
  <r>
    <d v="2024-01-08T00:00:00"/>
    <s v="INV4266"/>
    <s v="Cust_180"/>
    <s v="N/A"/>
    <x v="3"/>
    <x v="3"/>
    <x v="12"/>
    <n v="31"/>
    <n v="1499"/>
    <n v="46469"/>
    <x v="3"/>
    <x v="0"/>
  </r>
  <r>
    <d v="2024-10-05T00:00:00"/>
    <s v="INV4269"/>
    <s v="Cust_303"/>
    <s v="Male"/>
    <x v="3"/>
    <x v="3"/>
    <x v="15"/>
    <n v="41"/>
    <n v="2999"/>
    <n v="122959"/>
    <x v="0"/>
    <x v="2"/>
  </r>
  <r>
    <d v="2024-04-21T00:00:00"/>
    <s v="INV4289"/>
    <s v="Cust_14"/>
    <s v="Male"/>
    <x v="0"/>
    <x v="2"/>
    <x v="19"/>
    <n v="37"/>
    <n v="3499"/>
    <n v="129463"/>
    <x v="1"/>
    <x v="2"/>
  </r>
  <r>
    <d v="2024-05-09T00:00:00"/>
    <s v="INV4295"/>
    <s v="Cust_362"/>
    <s v="Male"/>
    <x v="3"/>
    <x v="0"/>
    <x v="8"/>
    <n v="26"/>
    <n v="2499"/>
    <n v="64974"/>
    <x v="2"/>
    <x v="4"/>
  </r>
  <r>
    <d v="2024-05-15T00:00:00"/>
    <s v="INV4346"/>
    <s v="Cust_184"/>
    <s v="N/A"/>
    <x v="1"/>
    <x v="4"/>
    <x v="11"/>
    <n v="47"/>
    <n v="499"/>
    <n v="23453"/>
    <x v="2"/>
    <x v="0"/>
  </r>
  <r>
    <d v="2024-08-14T00:00:00"/>
    <s v="INV4362"/>
    <s v="Cust_370"/>
    <s v="N/A"/>
    <x v="2"/>
    <x v="1"/>
    <x v="1"/>
    <n v="47"/>
    <n v="2499"/>
    <n v="117453"/>
    <x v="0"/>
    <x v="2"/>
  </r>
  <r>
    <d v="2024-05-18T00:00:00"/>
    <s v="INV4388"/>
    <s v="Cust_186"/>
    <s v="Male"/>
    <x v="2"/>
    <x v="3"/>
    <x v="12"/>
    <n v="26"/>
    <n v="3499"/>
    <n v="90974"/>
    <x v="3"/>
    <x v="2"/>
  </r>
  <r>
    <d v="2024-05-13T00:00:00"/>
    <s v="INV4394"/>
    <s v="Cust_228"/>
    <s v="Female"/>
    <x v="3"/>
    <x v="4"/>
    <x v="14"/>
    <n v="45"/>
    <n v="1999"/>
    <n v="89955"/>
    <x v="0"/>
    <x v="2"/>
  </r>
  <r>
    <d v="2024-06-29T00:00:00"/>
    <s v="INV4404"/>
    <s v="Cust_193"/>
    <s v="Female"/>
    <x v="4"/>
    <x v="2"/>
    <x v="2"/>
    <n v="28"/>
    <n v="199"/>
    <n v="5572"/>
    <x v="3"/>
    <x v="2"/>
  </r>
  <r>
    <d v="2024-12-14T00:00:00"/>
    <s v="INV4432"/>
    <s v="Cust_215"/>
    <s v="Male"/>
    <x v="3"/>
    <x v="0"/>
    <x v="0"/>
    <n v="16"/>
    <n v="3499"/>
    <n v="55984"/>
    <x v="2"/>
    <x v="3"/>
  </r>
  <r>
    <d v="2024-07-03T00:00:00"/>
    <s v="INV4441"/>
    <s v="Cust_221"/>
    <s v="Female"/>
    <x v="1"/>
    <x v="0"/>
    <x v="17"/>
    <n v="40"/>
    <n v="1999"/>
    <n v="79960"/>
    <x v="3"/>
    <x v="2"/>
  </r>
  <r>
    <d v="2024-10-08T00:00:00"/>
    <s v="INV4443"/>
    <s v="Cust_87"/>
    <s v="Female"/>
    <x v="3"/>
    <x v="2"/>
    <x v="4"/>
    <n v="30"/>
    <n v="199"/>
    <n v="5970"/>
    <x v="1"/>
    <x v="2"/>
  </r>
  <r>
    <d v="2024-05-16T00:00:00"/>
    <s v="INV4450"/>
    <s v="Cust_120"/>
    <s v="N/A"/>
    <x v="0"/>
    <x v="0"/>
    <x v="17"/>
    <n v="24"/>
    <n v="999"/>
    <n v="23976"/>
    <x v="1"/>
    <x v="2"/>
  </r>
  <r>
    <d v="2024-03-29T00:00:00"/>
    <s v="INV4456"/>
    <s v="Cust_336"/>
    <s v="N/A"/>
    <x v="2"/>
    <x v="3"/>
    <x v="5"/>
    <n v="47"/>
    <n v="499"/>
    <n v="23453"/>
    <x v="1"/>
    <x v="1"/>
  </r>
  <r>
    <d v="2024-12-06T00:00:00"/>
    <s v="INV4457"/>
    <s v="Cust_367"/>
    <s v="Female"/>
    <x v="1"/>
    <x v="0"/>
    <x v="8"/>
    <n v="17"/>
    <n v="199"/>
    <n v="3383"/>
    <x v="3"/>
    <x v="3"/>
  </r>
  <r>
    <d v="2024-01-13T00:00:00"/>
    <s v="INV4467"/>
    <s v="Cust_8"/>
    <s v="Male"/>
    <x v="3"/>
    <x v="2"/>
    <x v="7"/>
    <n v="14"/>
    <n v="999"/>
    <n v="13986"/>
    <x v="1"/>
    <x v="4"/>
  </r>
  <r>
    <d v="2024-09-21T00:00:00"/>
    <s v="INV4470"/>
    <s v="Cust_288"/>
    <s v="Male"/>
    <x v="1"/>
    <x v="3"/>
    <x v="15"/>
    <n v="25"/>
    <n v="1624"/>
    <n v="40600"/>
    <x v="0"/>
    <x v="3"/>
  </r>
  <r>
    <d v="2024-08-02T00:00:00"/>
    <s v="INV4483"/>
    <s v="Cust_87"/>
    <s v="Female"/>
    <x v="2"/>
    <x v="3"/>
    <x v="15"/>
    <n v="42"/>
    <n v="2499"/>
    <n v="104958"/>
    <x v="0"/>
    <x v="1"/>
  </r>
  <r>
    <d v="2024-04-10T00:00:00"/>
    <s v="INV4492"/>
    <s v="Cust_311"/>
    <s v="N/A"/>
    <x v="1"/>
    <x v="2"/>
    <x v="2"/>
    <n v="24"/>
    <n v="2499"/>
    <n v="59976"/>
    <x v="1"/>
    <x v="2"/>
  </r>
  <r>
    <d v="2024-04-22T00:00:00"/>
    <s v="INV4501"/>
    <s v="Cust_109"/>
    <s v="N/A"/>
    <x v="3"/>
    <x v="2"/>
    <x v="19"/>
    <n v="6"/>
    <n v="2999"/>
    <n v="17994"/>
    <x v="3"/>
    <x v="1"/>
  </r>
  <r>
    <d v="2024-12-28T00:00:00"/>
    <s v="INV4502"/>
    <s v="Cust_176"/>
    <s v="Male"/>
    <x v="1"/>
    <x v="2"/>
    <x v="4"/>
    <n v="47"/>
    <n v="3499"/>
    <n v="164453"/>
    <x v="1"/>
    <x v="0"/>
  </r>
  <r>
    <d v="2024-06-11T00:00:00"/>
    <s v="INV4505"/>
    <s v="Cust_356"/>
    <s v="Male"/>
    <x v="4"/>
    <x v="3"/>
    <x v="15"/>
    <n v="5"/>
    <n v="2999"/>
    <n v="14995"/>
    <x v="3"/>
    <x v="0"/>
  </r>
  <r>
    <d v="2024-06-27T00:00:00"/>
    <s v="INV4510"/>
    <s v="Cust_226"/>
    <s v="Female"/>
    <x v="0"/>
    <x v="0"/>
    <x v="16"/>
    <n v="11"/>
    <n v="2999"/>
    <n v="32989"/>
    <x v="2"/>
    <x v="4"/>
  </r>
  <r>
    <d v="2024-07-12T00:00:00"/>
    <s v="INV4527"/>
    <s v="Cust_219"/>
    <s v="Female"/>
    <x v="2"/>
    <x v="1"/>
    <x v="18"/>
    <n v="5"/>
    <n v="2499"/>
    <n v="12495"/>
    <x v="3"/>
    <x v="2"/>
  </r>
  <r>
    <d v="2024-02-08T00:00:00"/>
    <s v="INV4538"/>
    <s v="Cust_119"/>
    <s v="Female"/>
    <x v="0"/>
    <x v="2"/>
    <x v="4"/>
    <n v="47"/>
    <n v="1999"/>
    <n v="93953"/>
    <x v="0"/>
    <x v="0"/>
  </r>
  <r>
    <d v="2024-01-10T00:00:00"/>
    <s v="INV4545"/>
    <s v="Cust_1"/>
    <s v="Female"/>
    <x v="3"/>
    <x v="4"/>
    <x v="14"/>
    <n v="11"/>
    <n v="1999"/>
    <n v="21989"/>
    <x v="0"/>
    <x v="2"/>
  </r>
  <r>
    <d v="2024-06-13T00:00:00"/>
    <s v="INV4559"/>
    <s v="Cust_266"/>
    <s v="Male"/>
    <x v="1"/>
    <x v="0"/>
    <x v="0"/>
    <n v="2"/>
    <n v="999"/>
    <n v="1998"/>
    <x v="1"/>
    <x v="1"/>
  </r>
  <r>
    <d v="2024-01-01T00:00:00"/>
    <s v="INV4566"/>
    <s v="Cust_102"/>
    <s v="N/A"/>
    <x v="3"/>
    <x v="4"/>
    <x v="14"/>
    <n v="42"/>
    <n v="499"/>
    <n v="20958"/>
    <x v="1"/>
    <x v="0"/>
  </r>
  <r>
    <d v="2024-04-28T00:00:00"/>
    <s v="INV4571"/>
    <s v="Cust_34"/>
    <s v="Female"/>
    <x v="3"/>
    <x v="2"/>
    <x v="19"/>
    <n v="22"/>
    <n v="499"/>
    <n v="10978"/>
    <x v="1"/>
    <x v="2"/>
  </r>
  <r>
    <d v="2024-03-03T00:00:00"/>
    <s v="INV4582"/>
    <s v="Cust_72"/>
    <s v="Female"/>
    <x v="3"/>
    <x v="4"/>
    <x v="14"/>
    <n v="5"/>
    <n v="999"/>
    <n v="4995"/>
    <x v="1"/>
    <x v="1"/>
  </r>
  <r>
    <d v="2024-03-23T00:00:00"/>
    <s v="INV4585"/>
    <s v="Cust_129"/>
    <s v="Male"/>
    <x v="0"/>
    <x v="3"/>
    <x v="15"/>
    <n v="3"/>
    <n v="2999"/>
    <n v="8997"/>
    <x v="0"/>
    <x v="2"/>
  </r>
  <r>
    <d v="2024-04-10T00:00:00"/>
    <s v="INV4588"/>
    <s v="Cust_394"/>
    <s v="Female"/>
    <x v="1"/>
    <x v="0"/>
    <x v="16"/>
    <n v="37"/>
    <n v="999"/>
    <n v="36963"/>
    <x v="0"/>
    <x v="1"/>
  </r>
  <r>
    <d v="2024-08-05T00:00:00"/>
    <s v="INV4593"/>
    <s v="Cust_380"/>
    <s v="N/A"/>
    <x v="1"/>
    <x v="4"/>
    <x v="14"/>
    <n v="32"/>
    <n v="2999"/>
    <n v="95968"/>
    <x v="0"/>
    <x v="0"/>
  </r>
  <r>
    <d v="2024-02-14T00:00:00"/>
    <s v="INV4595"/>
    <s v="Cust_119"/>
    <s v="N/A"/>
    <x v="3"/>
    <x v="3"/>
    <x v="5"/>
    <n v="3"/>
    <n v="999"/>
    <n v="2997"/>
    <x v="1"/>
    <x v="2"/>
  </r>
  <r>
    <d v="2024-02-27T00:00:00"/>
    <s v="INV4598"/>
    <s v="Cust_377"/>
    <s v="N/A"/>
    <x v="0"/>
    <x v="1"/>
    <x v="10"/>
    <n v="44"/>
    <n v="199"/>
    <n v="8756"/>
    <x v="0"/>
    <x v="2"/>
  </r>
  <r>
    <d v="2024-10-01T00:00:00"/>
    <s v="INV4608"/>
    <s v="Cust_378"/>
    <s v="Male"/>
    <x v="1"/>
    <x v="4"/>
    <x v="13"/>
    <n v="5"/>
    <n v="2999"/>
    <n v="14995"/>
    <x v="0"/>
    <x v="0"/>
  </r>
  <r>
    <d v="2024-03-16T00:00:00"/>
    <s v="INV4611"/>
    <s v="Cust_313"/>
    <s v="N/A"/>
    <x v="4"/>
    <x v="0"/>
    <x v="17"/>
    <n v="17"/>
    <n v="199"/>
    <n v="3383"/>
    <x v="0"/>
    <x v="2"/>
  </r>
  <r>
    <d v="2024-05-13T00:00:00"/>
    <s v="INV4613"/>
    <s v="Cust_122"/>
    <s v="N/A"/>
    <x v="3"/>
    <x v="3"/>
    <x v="5"/>
    <n v="35"/>
    <n v="199"/>
    <n v="6965"/>
    <x v="2"/>
    <x v="0"/>
  </r>
  <r>
    <d v="2024-01-10T00:00:00"/>
    <s v="INV4626"/>
    <s v="Cust_114"/>
    <s v="N/A"/>
    <x v="3"/>
    <x v="4"/>
    <x v="11"/>
    <n v="8"/>
    <n v="2499"/>
    <n v="19992"/>
    <x v="3"/>
    <x v="0"/>
  </r>
  <r>
    <d v="2024-03-24T00:00:00"/>
    <s v="INV4644"/>
    <s v="Cust_159"/>
    <s v="N/A"/>
    <x v="3"/>
    <x v="0"/>
    <x v="0"/>
    <n v="12"/>
    <n v="499"/>
    <n v="5988"/>
    <x v="0"/>
    <x v="0"/>
  </r>
  <r>
    <d v="2024-01-01T00:00:00"/>
    <s v="INV4652"/>
    <s v="Cust_108"/>
    <s v="N/A"/>
    <x v="1"/>
    <x v="3"/>
    <x v="5"/>
    <n v="43"/>
    <n v="1624"/>
    <n v="69832"/>
    <x v="1"/>
    <x v="0"/>
  </r>
  <r>
    <d v="2024-08-15T00:00:00"/>
    <s v="INV4657"/>
    <s v="Cust_207"/>
    <s v="Female"/>
    <x v="4"/>
    <x v="2"/>
    <x v="4"/>
    <n v="42"/>
    <n v="1999"/>
    <n v="83958"/>
    <x v="0"/>
    <x v="1"/>
  </r>
  <r>
    <d v="2024-08-21T00:00:00"/>
    <s v="INV4673"/>
    <s v="Cust_40"/>
    <s v="Male"/>
    <x v="0"/>
    <x v="4"/>
    <x v="14"/>
    <n v="44"/>
    <n v="1499"/>
    <n v="65956"/>
    <x v="2"/>
    <x v="1"/>
  </r>
  <r>
    <d v="2024-02-22T00:00:00"/>
    <s v="INV4680"/>
    <s v="Cust_386"/>
    <s v="Female"/>
    <x v="4"/>
    <x v="0"/>
    <x v="16"/>
    <n v="5"/>
    <n v="499"/>
    <n v="2495"/>
    <x v="0"/>
    <x v="2"/>
  </r>
  <r>
    <d v="2024-09-27T00:00:00"/>
    <s v="INV4696"/>
    <s v="Cust_22"/>
    <s v="N/A"/>
    <x v="3"/>
    <x v="3"/>
    <x v="15"/>
    <n v="34"/>
    <n v="1624"/>
    <n v="55216"/>
    <x v="0"/>
    <x v="1"/>
  </r>
  <r>
    <d v="2024-02-27T00:00:00"/>
    <s v="INV4697"/>
    <s v="Cust_128"/>
    <s v="N/A"/>
    <x v="3"/>
    <x v="3"/>
    <x v="15"/>
    <n v="24"/>
    <n v="1999"/>
    <n v="47976"/>
    <x v="0"/>
    <x v="4"/>
  </r>
  <r>
    <d v="2024-06-27T00:00:00"/>
    <s v="INV4728"/>
    <s v="Cust_328"/>
    <s v="Female"/>
    <x v="1"/>
    <x v="3"/>
    <x v="12"/>
    <n v="4"/>
    <n v="1624"/>
    <n v="6496"/>
    <x v="2"/>
    <x v="4"/>
  </r>
  <r>
    <d v="2024-09-08T00:00:00"/>
    <s v="INV4733"/>
    <s v="Cust_324"/>
    <s v="N/A"/>
    <x v="0"/>
    <x v="0"/>
    <x v="8"/>
    <n v="14"/>
    <n v="1999"/>
    <n v="27986"/>
    <x v="2"/>
    <x v="3"/>
  </r>
  <r>
    <d v="2024-06-23T00:00:00"/>
    <s v="INV4752"/>
    <s v="Cust_303"/>
    <s v="N/A"/>
    <x v="1"/>
    <x v="2"/>
    <x v="19"/>
    <n v="4"/>
    <n v="1845"/>
    <n v="7380"/>
    <x v="0"/>
    <x v="2"/>
  </r>
  <r>
    <d v="2024-06-24T00:00:00"/>
    <s v="INV4777"/>
    <s v="Cust_215"/>
    <s v="Male"/>
    <x v="1"/>
    <x v="4"/>
    <x v="14"/>
    <n v="39"/>
    <n v="999"/>
    <n v="38961"/>
    <x v="1"/>
    <x v="0"/>
  </r>
  <r>
    <d v="2024-02-08T00:00:00"/>
    <s v="INV4788"/>
    <s v="Cust_59"/>
    <s v="N/A"/>
    <x v="4"/>
    <x v="0"/>
    <x v="17"/>
    <n v="47"/>
    <n v="1999"/>
    <n v="93953"/>
    <x v="0"/>
    <x v="3"/>
  </r>
  <r>
    <d v="2024-05-26T00:00:00"/>
    <s v="INV4792"/>
    <s v="Cust_128"/>
    <s v="Male"/>
    <x v="1"/>
    <x v="1"/>
    <x v="9"/>
    <n v="21"/>
    <n v="3499"/>
    <n v="73479"/>
    <x v="0"/>
    <x v="0"/>
  </r>
  <r>
    <d v="2024-09-08T00:00:00"/>
    <s v="INV4804"/>
    <s v="Cust_149"/>
    <s v="Male"/>
    <x v="3"/>
    <x v="1"/>
    <x v="9"/>
    <n v="48"/>
    <n v="1499"/>
    <n v="71952"/>
    <x v="0"/>
    <x v="0"/>
  </r>
  <r>
    <d v="2024-12-15T00:00:00"/>
    <s v="INV4811"/>
    <s v="Cust_333"/>
    <s v="Female"/>
    <x v="1"/>
    <x v="2"/>
    <x v="2"/>
    <n v="1"/>
    <n v="3499"/>
    <n v="3499"/>
    <x v="3"/>
    <x v="0"/>
  </r>
  <r>
    <d v="2024-04-12T00:00:00"/>
    <s v="INV4814"/>
    <s v="Cust_102"/>
    <s v="Female"/>
    <x v="4"/>
    <x v="0"/>
    <x v="17"/>
    <n v="4"/>
    <n v="1999"/>
    <n v="7996"/>
    <x v="0"/>
    <x v="1"/>
  </r>
  <r>
    <d v="2024-04-08T00:00:00"/>
    <s v="INV4824"/>
    <s v="Cust_74"/>
    <s v="N/A"/>
    <x v="4"/>
    <x v="0"/>
    <x v="16"/>
    <n v="5"/>
    <n v="999"/>
    <n v="4995"/>
    <x v="0"/>
    <x v="2"/>
  </r>
  <r>
    <d v="2024-12-15T00:00:00"/>
    <s v="INV4826"/>
    <s v="Cust_77"/>
    <s v="Male"/>
    <x v="0"/>
    <x v="2"/>
    <x v="2"/>
    <n v="43"/>
    <n v="1499"/>
    <n v="64457"/>
    <x v="3"/>
    <x v="3"/>
  </r>
  <r>
    <d v="2024-02-03T00:00:00"/>
    <s v="INV4830"/>
    <s v="Cust_206"/>
    <s v="Female"/>
    <x v="1"/>
    <x v="4"/>
    <x v="13"/>
    <n v="25"/>
    <n v="199"/>
    <n v="4975"/>
    <x v="0"/>
    <x v="0"/>
  </r>
  <r>
    <d v="2024-05-30T00:00:00"/>
    <s v="INV4841"/>
    <s v="Cust_4"/>
    <s v="N/A"/>
    <x v="1"/>
    <x v="2"/>
    <x v="2"/>
    <n v="29"/>
    <n v="1999"/>
    <n v="57971"/>
    <x v="0"/>
    <x v="0"/>
  </r>
  <r>
    <d v="2024-09-14T00:00:00"/>
    <s v="INV4848"/>
    <s v="Cust_18"/>
    <s v="Male"/>
    <x v="3"/>
    <x v="2"/>
    <x v="7"/>
    <n v="15"/>
    <n v="2499"/>
    <n v="37485"/>
    <x v="0"/>
    <x v="1"/>
  </r>
  <r>
    <d v="2024-04-27T00:00:00"/>
    <s v="INV4853"/>
    <s v="Cust_16"/>
    <s v="Male"/>
    <x v="1"/>
    <x v="4"/>
    <x v="13"/>
    <n v="7"/>
    <n v="1999"/>
    <n v="13993"/>
    <x v="0"/>
    <x v="4"/>
  </r>
  <r>
    <d v="2024-05-06T00:00:00"/>
    <s v="INV4868"/>
    <s v="Cust_305"/>
    <s v="Female"/>
    <x v="0"/>
    <x v="0"/>
    <x v="0"/>
    <n v="6"/>
    <n v="999"/>
    <n v="5994"/>
    <x v="0"/>
    <x v="0"/>
  </r>
  <r>
    <d v="2024-07-13T00:00:00"/>
    <s v="INV4872"/>
    <s v="Cust_366"/>
    <s v="Female"/>
    <x v="0"/>
    <x v="1"/>
    <x v="1"/>
    <n v="31"/>
    <n v="2999"/>
    <n v="92969"/>
    <x v="0"/>
    <x v="1"/>
  </r>
  <r>
    <d v="2024-10-03T00:00:00"/>
    <s v="INV4886"/>
    <s v="Cust_15"/>
    <s v="N/A"/>
    <x v="1"/>
    <x v="1"/>
    <x v="10"/>
    <n v="10"/>
    <n v="999"/>
    <n v="9990"/>
    <x v="0"/>
    <x v="2"/>
  </r>
  <r>
    <d v="2024-12-06T00:00:00"/>
    <s v="INV4899"/>
    <s v="Cust_258"/>
    <s v="Male"/>
    <x v="4"/>
    <x v="3"/>
    <x v="3"/>
    <n v="32"/>
    <n v="199"/>
    <n v="6368"/>
    <x v="1"/>
    <x v="1"/>
  </r>
  <r>
    <d v="2024-08-14T00:00:00"/>
    <s v="INV4908"/>
    <s v="Cust_75"/>
    <s v="Female"/>
    <x v="3"/>
    <x v="1"/>
    <x v="9"/>
    <n v="41"/>
    <n v="199"/>
    <n v="8159"/>
    <x v="2"/>
    <x v="0"/>
  </r>
  <r>
    <d v="2024-08-22T00:00:00"/>
    <s v="INV4910"/>
    <s v="Cust_145"/>
    <s v="Female"/>
    <x v="3"/>
    <x v="0"/>
    <x v="16"/>
    <n v="4"/>
    <n v="499"/>
    <n v="1996"/>
    <x v="0"/>
    <x v="2"/>
  </r>
  <r>
    <d v="2024-01-15T00:00:00"/>
    <s v="INV4912"/>
    <s v="Cust_378"/>
    <s v="Male"/>
    <x v="3"/>
    <x v="1"/>
    <x v="10"/>
    <n v="30"/>
    <n v="499"/>
    <n v="14970"/>
    <x v="3"/>
    <x v="0"/>
  </r>
  <r>
    <d v="2024-08-21T00:00:00"/>
    <s v="INV4919"/>
    <s v="Cust_7"/>
    <s v="Female"/>
    <x v="3"/>
    <x v="3"/>
    <x v="12"/>
    <n v="2"/>
    <n v="499"/>
    <n v="998"/>
    <x v="1"/>
    <x v="1"/>
  </r>
  <r>
    <d v="2024-02-06T00:00:00"/>
    <s v="INV4920"/>
    <s v="Cust_296"/>
    <s v="Male"/>
    <x v="1"/>
    <x v="1"/>
    <x v="10"/>
    <n v="4"/>
    <n v="999"/>
    <n v="3996"/>
    <x v="3"/>
    <x v="0"/>
  </r>
  <r>
    <d v="2024-06-19T00:00:00"/>
    <s v="INV4923"/>
    <s v="Cust_195"/>
    <s v="Female"/>
    <x v="1"/>
    <x v="4"/>
    <x v="13"/>
    <n v="35"/>
    <n v="999"/>
    <n v="34965"/>
    <x v="1"/>
    <x v="0"/>
  </r>
  <r>
    <d v="2024-05-12T00:00:00"/>
    <s v="INV4929"/>
    <s v="Cust_340"/>
    <s v="N/A"/>
    <x v="2"/>
    <x v="4"/>
    <x v="11"/>
    <n v="0"/>
    <n v="499"/>
    <n v="0"/>
    <x v="0"/>
    <x v="0"/>
  </r>
  <r>
    <d v="2024-01-26T00:00:00"/>
    <s v="INV4937"/>
    <s v="Cust_60"/>
    <s v="Male"/>
    <x v="3"/>
    <x v="1"/>
    <x v="18"/>
    <n v="20"/>
    <n v="999"/>
    <n v="19980"/>
    <x v="0"/>
    <x v="3"/>
  </r>
  <r>
    <d v="2024-09-15T00:00:00"/>
    <s v="INV4945"/>
    <s v="Cust_333"/>
    <s v="N/A"/>
    <x v="3"/>
    <x v="0"/>
    <x v="0"/>
    <n v="42"/>
    <n v="2999"/>
    <n v="125958"/>
    <x v="0"/>
    <x v="0"/>
  </r>
  <r>
    <d v="2024-09-16T00:00:00"/>
    <s v="INV4946"/>
    <s v="Cust_364"/>
    <s v="N/A"/>
    <x v="1"/>
    <x v="4"/>
    <x v="13"/>
    <n v="17"/>
    <n v="3499"/>
    <n v="59483"/>
    <x v="0"/>
    <x v="2"/>
  </r>
  <r>
    <d v="2024-01-05T00:00:00"/>
    <s v="INV4954"/>
    <s v="Cust_84"/>
    <s v="Female"/>
    <x v="3"/>
    <x v="4"/>
    <x v="14"/>
    <n v="14"/>
    <n v="499"/>
    <n v="6986"/>
    <x v="0"/>
    <x v="1"/>
  </r>
  <r>
    <d v="2024-01-03T00:00:00"/>
    <s v="INV4978"/>
    <s v="Cust_126"/>
    <s v="Male"/>
    <x v="2"/>
    <x v="3"/>
    <x v="12"/>
    <n v="37"/>
    <n v="1999"/>
    <n v="73963"/>
    <x v="2"/>
    <x v="0"/>
  </r>
  <r>
    <d v="2024-10-06T00:00:00"/>
    <s v="INV4981"/>
    <s v="Cust_356"/>
    <s v="Female"/>
    <x v="0"/>
    <x v="2"/>
    <x v="4"/>
    <n v="5"/>
    <n v="199"/>
    <n v="995"/>
    <x v="0"/>
    <x v="2"/>
  </r>
  <r>
    <d v="2024-09-20T00:00:00"/>
    <s v="INV4986"/>
    <s v="Cust_115"/>
    <s v="Female"/>
    <x v="2"/>
    <x v="0"/>
    <x v="16"/>
    <n v="8"/>
    <n v="1878"/>
    <n v="15024"/>
    <x v="0"/>
    <x v="3"/>
  </r>
  <r>
    <d v="2024-09-09T00:00:00"/>
    <s v="INV4990"/>
    <s v="Cust_51"/>
    <s v="Male"/>
    <x v="3"/>
    <x v="3"/>
    <x v="5"/>
    <n v="2"/>
    <n v="1624"/>
    <n v="3248"/>
    <x v="0"/>
    <x v="4"/>
  </r>
  <r>
    <d v="2024-03-30T00:00:00"/>
    <s v="INV4993"/>
    <s v="Cust_159"/>
    <s v="Male"/>
    <x v="3"/>
    <x v="3"/>
    <x v="12"/>
    <n v="24"/>
    <n v="1999"/>
    <n v="47976"/>
    <x v="1"/>
    <x v="1"/>
  </r>
  <r>
    <d v="2024-07-10T00:00:00"/>
    <s v="INV4995"/>
    <s v="Cust_231"/>
    <s v="N/A"/>
    <x v="3"/>
    <x v="3"/>
    <x v="5"/>
    <n v="27"/>
    <n v="199"/>
    <n v="5373"/>
    <x v="1"/>
    <x v="4"/>
  </r>
  <r>
    <d v="2024-11-17T00:00:00"/>
    <s v="INV4997"/>
    <s v="Cust_399"/>
    <s v="Female"/>
    <x v="1"/>
    <x v="0"/>
    <x v="17"/>
    <n v="1"/>
    <n v="499"/>
    <n v="499"/>
    <x v="0"/>
    <x v="1"/>
  </r>
  <r>
    <d v="2024-08-30T00:00:00"/>
    <s v="INV5000"/>
    <s v="Cust_202"/>
    <s v="N/A"/>
    <x v="3"/>
    <x v="4"/>
    <x v="14"/>
    <n v="1"/>
    <n v="1749"/>
    <n v="1749"/>
    <x v="1"/>
    <x v="2"/>
  </r>
  <r>
    <d v="2024-12-13T00:00:00"/>
    <s v="INV5002"/>
    <s v="Cust_131"/>
    <s v="Male"/>
    <x v="3"/>
    <x v="2"/>
    <x v="4"/>
    <n v="11"/>
    <n v="2499"/>
    <n v="27489"/>
    <x v="2"/>
    <x v="0"/>
  </r>
  <r>
    <d v="2024-01-23T00:00:00"/>
    <s v="INV5010"/>
    <s v="Cust_119"/>
    <s v="Female"/>
    <x v="4"/>
    <x v="0"/>
    <x v="8"/>
    <n v="37"/>
    <n v="199"/>
    <n v="7363"/>
    <x v="0"/>
    <x v="3"/>
  </r>
  <r>
    <d v="2024-03-26T00:00:00"/>
    <s v="INV5012"/>
    <s v="Cust_61"/>
    <s v="N/A"/>
    <x v="1"/>
    <x v="0"/>
    <x v="8"/>
    <n v="40"/>
    <n v="1878"/>
    <n v="75120"/>
    <x v="1"/>
    <x v="3"/>
  </r>
  <r>
    <d v="2024-02-21T00:00:00"/>
    <s v="INV5022"/>
    <s v="Cust_223"/>
    <s v="Female"/>
    <x v="0"/>
    <x v="3"/>
    <x v="5"/>
    <n v="26"/>
    <n v="999"/>
    <n v="25974"/>
    <x v="0"/>
    <x v="1"/>
  </r>
  <r>
    <d v="2024-07-16T00:00:00"/>
    <s v="INV5040"/>
    <s v="Cust_86"/>
    <s v="N/A"/>
    <x v="3"/>
    <x v="0"/>
    <x v="16"/>
    <n v="4"/>
    <n v="1499"/>
    <n v="5996"/>
    <x v="1"/>
    <x v="3"/>
  </r>
  <r>
    <d v="2024-10-31T00:00:00"/>
    <s v="INV5050"/>
    <s v="Cust_251"/>
    <s v="N/A"/>
    <x v="0"/>
    <x v="0"/>
    <x v="8"/>
    <n v="41"/>
    <n v="499"/>
    <n v="20459"/>
    <x v="0"/>
    <x v="4"/>
  </r>
  <r>
    <d v="2024-08-15T00:00:00"/>
    <s v="INV5051"/>
    <s v="Cust_236"/>
    <s v="Female"/>
    <x v="0"/>
    <x v="2"/>
    <x v="7"/>
    <n v="46"/>
    <n v="2999"/>
    <n v="137954"/>
    <x v="0"/>
    <x v="4"/>
  </r>
  <r>
    <d v="2024-02-13T00:00:00"/>
    <s v="INV5061"/>
    <s v="Cust_381"/>
    <s v="N/A"/>
    <x v="3"/>
    <x v="4"/>
    <x v="6"/>
    <n v="26"/>
    <n v="1999"/>
    <n v="51974"/>
    <x v="0"/>
    <x v="2"/>
  </r>
  <r>
    <d v="2024-05-31T00:00:00"/>
    <s v="INV5065"/>
    <s v="Cust_394"/>
    <s v="Female"/>
    <x v="4"/>
    <x v="1"/>
    <x v="10"/>
    <n v="5"/>
    <n v="1999"/>
    <n v="9995"/>
    <x v="0"/>
    <x v="2"/>
  </r>
  <r>
    <d v="2024-04-22T00:00:00"/>
    <s v="INV5066"/>
    <s v="Cust_204"/>
    <s v="Male"/>
    <x v="3"/>
    <x v="0"/>
    <x v="17"/>
    <n v="43"/>
    <n v="3499"/>
    <n v="150457"/>
    <x v="0"/>
    <x v="2"/>
  </r>
  <r>
    <d v="2024-01-01T00:00:00"/>
    <s v="INV5073"/>
    <s v="Cust_268"/>
    <s v="Female"/>
    <x v="1"/>
    <x v="4"/>
    <x v="6"/>
    <n v="13"/>
    <n v="999"/>
    <n v="12987"/>
    <x v="0"/>
    <x v="4"/>
  </r>
  <r>
    <d v="2024-07-05T00:00:00"/>
    <s v="INV5082"/>
    <s v="Cust_346"/>
    <s v="Female"/>
    <x v="3"/>
    <x v="2"/>
    <x v="7"/>
    <n v="27"/>
    <n v="1499"/>
    <n v="40473"/>
    <x v="2"/>
    <x v="0"/>
  </r>
  <r>
    <d v="2024-01-25T00:00:00"/>
    <s v="INV5088"/>
    <s v="Cust_27"/>
    <s v="Male"/>
    <x v="3"/>
    <x v="4"/>
    <x v="13"/>
    <n v="3"/>
    <n v="2999"/>
    <n v="8997"/>
    <x v="1"/>
    <x v="0"/>
  </r>
  <r>
    <d v="2024-08-05T00:00:00"/>
    <s v="INV5092"/>
    <s v="Cust_165"/>
    <s v="Male"/>
    <x v="4"/>
    <x v="3"/>
    <x v="5"/>
    <n v="30"/>
    <n v="499"/>
    <n v="14970"/>
    <x v="2"/>
    <x v="2"/>
  </r>
  <r>
    <d v="2024-09-03T00:00:00"/>
    <s v="INV5097"/>
    <s v="Cust_8"/>
    <s v="Female"/>
    <x v="3"/>
    <x v="3"/>
    <x v="5"/>
    <n v="21"/>
    <n v="2499"/>
    <n v="52479"/>
    <x v="1"/>
    <x v="1"/>
  </r>
  <r>
    <d v="2024-05-27T00:00:00"/>
    <s v="INV5102"/>
    <s v="Cust_281"/>
    <s v="Male"/>
    <x v="3"/>
    <x v="4"/>
    <x v="11"/>
    <n v="18"/>
    <n v="499"/>
    <n v="8982"/>
    <x v="0"/>
    <x v="0"/>
  </r>
  <r>
    <d v="2024-02-22T00:00:00"/>
    <s v="INV5106"/>
    <s v="Cust_337"/>
    <s v="Male"/>
    <x v="3"/>
    <x v="4"/>
    <x v="6"/>
    <n v="4"/>
    <n v="999"/>
    <n v="3996"/>
    <x v="0"/>
    <x v="2"/>
  </r>
  <r>
    <d v="2024-12-16T00:00:00"/>
    <s v="INV5114"/>
    <s v="Cust_161"/>
    <s v="Male"/>
    <x v="0"/>
    <x v="0"/>
    <x v="16"/>
    <n v="8"/>
    <n v="199"/>
    <n v="1592"/>
    <x v="3"/>
    <x v="0"/>
  </r>
  <r>
    <d v="2024-02-04T00:00:00"/>
    <s v="INV5118"/>
    <s v="Cust_289"/>
    <s v="N/A"/>
    <x v="1"/>
    <x v="3"/>
    <x v="3"/>
    <n v="20"/>
    <n v="1499"/>
    <n v="29980"/>
    <x v="1"/>
    <x v="1"/>
  </r>
  <r>
    <d v="2024-12-13T00:00:00"/>
    <s v="INV5119"/>
    <s v="Cust_326"/>
    <s v="Male"/>
    <x v="0"/>
    <x v="1"/>
    <x v="18"/>
    <n v="45"/>
    <n v="1499"/>
    <n v="67455"/>
    <x v="0"/>
    <x v="0"/>
  </r>
  <r>
    <d v="2024-05-09T00:00:00"/>
    <s v="INV5133"/>
    <s v="Cust_251"/>
    <s v="Female"/>
    <x v="0"/>
    <x v="0"/>
    <x v="16"/>
    <n v="42"/>
    <n v="999"/>
    <n v="41958"/>
    <x v="0"/>
    <x v="2"/>
  </r>
  <r>
    <d v="2024-03-03T00:00:00"/>
    <s v="INV5135"/>
    <s v="Cust_270"/>
    <s v="N/A"/>
    <x v="3"/>
    <x v="0"/>
    <x v="0"/>
    <n v="3"/>
    <n v="2499"/>
    <n v="7497"/>
    <x v="2"/>
    <x v="4"/>
  </r>
  <r>
    <d v="2024-06-25T00:00:00"/>
    <s v="INV5136"/>
    <s v="Cust_55"/>
    <s v="Female"/>
    <x v="3"/>
    <x v="4"/>
    <x v="13"/>
    <n v="45"/>
    <n v="1749"/>
    <n v="78705"/>
    <x v="0"/>
    <x v="0"/>
  </r>
  <r>
    <d v="2024-07-26T00:00:00"/>
    <s v="INV5161"/>
    <s v="Cust_101"/>
    <s v="Female"/>
    <x v="3"/>
    <x v="1"/>
    <x v="9"/>
    <n v="49"/>
    <n v="1838"/>
    <n v="90062"/>
    <x v="0"/>
    <x v="1"/>
  </r>
  <r>
    <d v="2024-05-26T00:00:00"/>
    <s v="INV5173"/>
    <s v="Cust_202"/>
    <s v="N/A"/>
    <x v="3"/>
    <x v="0"/>
    <x v="8"/>
    <n v="17"/>
    <n v="1999"/>
    <n v="33983"/>
    <x v="2"/>
    <x v="4"/>
  </r>
  <r>
    <d v="2024-02-06T00:00:00"/>
    <s v="INV5183"/>
    <s v="Cust_377"/>
    <s v="Female"/>
    <x v="3"/>
    <x v="1"/>
    <x v="18"/>
    <n v="39"/>
    <n v="3499"/>
    <n v="136461"/>
    <x v="0"/>
    <x v="3"/>
  </r>
  <r>
    <d v="2024-02-22T00:00:00"/>
    <s v="INV5198"/>
    <s v="Cust_204"/>
    <s v="N/A"/>
    <x v="3"/>
    <x v="1"/>
    <x v="9"/>
    <n v="39"/>
    <n v="1838"/>
    <n v="71682"/>
    <x v="0"/>
    <x v="2"/>
  </r>
  <r>
    <d v="2024-11-26T00:00:00"/>
    <s v="INV5210"/>
    <s v="Cust_22"/>
    <s v="Male"/>
    <x v="4"/>
    <x v="1"/>
    <x v="18"/>
    <n v="46"/>
    <n v="1838"/>
    <n v="84548"/>
    <x v="1"/>
    <x v="2"/>
  </r>
  <r>
    <d v="2024-12-11T00:00:00"/>
    <s v="INV5232"/>
    <s v="Cust_312"/>
    <s v="Male"/>
    <x v="3"/>
    <x v="4"/>
    <x v="13"/>
    <n v="8"/>
    <n v="2999"/>
    <n v="23992"/>
    <x v="2"/>
    <x v="2"/>
  </r>
  <r>
    <d v="2024-03-01T00:00:00"/>
    <s v="INV5246"/>
    <s v="Cust_24"/>
    <s v="N/A"/>
    <x v="1"/>
    <x v="2"/>
    <x v="19"/>
    <n v="18"/>
    <n v="999"/>
    <n v="17982"/>
    <x v="3"/>
    <x v="0"/>
  </r>
  <r>
    <d v="2024-08-20T00:00:00"/>
    <s v="INV5262"/>
    <s v="Cust_152"/>
    <s v="N/A"/>
    <x v="1"/>
    <x v="1"/>
    <x v="18"/>
    <n v="49"/>
    <n v="1999"/>
    <n v="97951"/>
    <x v="3"/>
    <x v="2"/>
  </r>
  <r>
    <d v="2024-03-06T00:00:00"/>
    <s v="INV5272"/>
    <s v="Cust_149"/>
    <s v="Male"/>
    <x v="1"/>
    <x v="3"/>
    <x v="3"/>
    <n v="22"/>
    <n v="1499"/>
    <n v="32978"/>
    <x v="0"/>
    <x v="2"/>
  </r>
  <r>
    <d v="2024-06-02T00:00:00"/>
    <s v="INV5279"/>
    <s v="Cust_76"/>
    <s v="N/A"/>
    <x v="0"/>
    <x v="1"/>
    <x v="18"/>
    <n v="31"/>
    <n v="1499"/>
    <n v="46469"/>
    <x v="0"/>
    <x v="1"/>
  </r>
  <r>
    <d v="2024-08-02T00:00:00"/>
    <s v="INV5291"/>
    <s v="Cust_356"/>
    <s v="N/A"/>
    <x v="3"/>
    <x v="0"/>
    <x v="16"/>
    <n v="40"/>
    <n v="199"/>
    <n v="7960"/>
    <x v="3"/>
    <x v="1"/>
  </r>
  <r>
    <d v="2024-02-12T00:00:00"/>
    <s v="INV5295"/>
    <s v="Cust_130"/>
    <s v="N/A"/>
    <x v="3"/>
    <x v="3"/>
    <x v="15"/>
    <n v="10"/>
    <n v="499"/>
    <n v="4990"/>
    <x v="1"/>
    <x v="2"/>
  </r>
  <r>
    <d v="2024-11-11T00:00:00"/>
    <s v="INV5304"/>
    <s v="Cust_262"/>
    <s v="Female"/>
    <x v="3"/>
    <x v="3"/>
    <x v="15"/>
    <n v="1"/>
    <n v="2499"/>
    <n v="2499"/>
    <x v="0"/>
    <x v="2"/>
  </r>
  <r>
    <d v="2024-10-30T00:00:00"/>
    <s v="INV5315"/>
    <s v="Cust_273"/>
    <s v="Female"/>
    <x v="1"/>
    <x v="3"/>
    <x v="12"/>
    <n v="11"/>
    <n v="499"/>
    <n v="5489"/>
    <x v="0"/>
    <x v="2"/>
  </r>
  <r>
    <d v="2024-02-05T00:00:00"/>
    <s v="INV5325"/>
    <s v="Cust_75"/>
    <s v="N/A"/>
    <x v="3"/>
    <x v="4"/>
    <x v="6"/>
    <n v="12"/>
    <n v="199"/>
    <n v="2388"/>
    <x v="2"/>
    <x v="2"/>
  </r>
  <r>
    <d v="2024-11-05T00:00:00"/>
    <s v="INV5332"/>
    <s v="Cust_76"/>
    <s v="N/A"/>
    <x v="3"/>
    <x v="4"/>
    <x v="14"/>
    <n v="44"/>
    <n v="2499"/>
    <n v="109956"/>
    <x v="0"/>
    <x v="1"/>
  </r>
  <r>
    <d v="2024-01-13T00:00:00"/>
    <s v="INV5339"/>
    <s v="Cust_98"/>
    <s v="N/A"/>
    <x v="2"/>
    <x v="2"/>
    <x v="7"/>
    <n v="38"/>
    <n v="1845"/>
    <n v="70110"/>
    <x v="0"/>
    <x v="1"/>
  </r>
  <r>
    <d v="2024-06-19T00:00:00"/>
    <s v="INV5349"/>
    <s v="Cust_58"/>
    <s v="Female"/>
    <x v="1"/>
    <x v="3"/>
    <x v="3"/>
    <n v="6"/>
    <n v="2999"/>
    <n v="17994"/>
    <x v="1"/>
    <x v="2"/>
  </r>
  <r>
    <d v="2024-12-30T00:00:00"/>
    <s v="INV5351"/>
    <s v="Cust_243"/>
    <s v="Male"/>
    <x v="1"/>
    <x v="3"/>
    <x v="12"/>
    <n v="16"/>
    <n v="2499"/>
    <n v="39984"/>
    <x v="0"/>
    <x v="3"/>
  </r>
  <r>
    <d v="2024-08-30T00:00:00"/>
    <s v="INV5352"/>
    <s v="Cust_205"/>
    <s v="N/A"/>
    <x v="1"/>
    <x v="3"/>
    <x v="15"/>
    <n v="36"/>
    <n v="2999"/>
    <n v="107964"/>
    <x v="0"/>
    <x v="1"/>
  </r>
  <r>
    <d v="2024-02-11T00:00:00"/>
    <s v="INV5374"/>
    <s v="Cust_193"/>
    <s v="Male"/>
    <x v="1"/>
    <x v="1"/>
    <x v="9"/>
    <n v="17"/>
    <n v="999"/>
    <n v="16983"/>
    <x v="1"/>
    <x v="1"/>
  </r>
  <r>
    <d v="2024-01-20T00:00:00"/>
    <s v="INV5375"/>
    <s v="Cust_130"/>
    <s v="N/A"/>
    <x v="4"/>
    <x v="3"/>
    <x v="12"/>
    <n v="41"/>
    <n v="499"/>
    <n v="20459"/>
    <x v="0"/>
    <x v="0"/>
  </r>
  <r>
    <d v="2024-06-12T00:00:00"/>
    <s v="INV5377"/>
    <s v="Cust_356"/>
    <s v="Female"/>
    <x v="1"/>
    <x v="1"/>
    <x v="9"/>
    <n v="5"/>
    <n v="2499"/>
    <n v="12495"/>
    <x v="1"/>
    <x v="1"/>
  </r>
  <r>
    <d v="2024-01-28T00:00:00"/>
    <s v="INV5386"/>
    <s v="Cust_9"/>
    <s v="N/A"/>
    <x v="0"/>
    <x v="0"/>
    <x v="16"/>
    <n v="6"/>
    <n v="2999"/>
    <n v="17994"/>
    <x v="2"/>
    <x v="1"/>
  </r>
  <r>
    <d v="2024-04-02T00:00:00"/>
    <s v="INV5397"/>
    <s v="Cust_264"/>
    <s v="Male"/>
    <x v="1"/>
    <x v="1"/>
    <x v="1"/>
    <n v="29"/>
    <n v="999"/>
    <n v="28971"/>
    <x v="0"/>
    <x v="0"/>
  </r>
  <r>
    <d v="2024-07-08T00:00:00"/>
    <s v="INV5415"/>
    <s v="Cust_55"/>
    <s v="Male"/>
    <x v="0"/>
    <x v="3"/>
    <x v="5"/>
    <n v="44"/>
    <n v="3499"/>
    <n v="153956"/>
    <x v="3"/>
    <x v="4"/>
  </r>
  <r>
    <d v="2024-03-16T00:00:00"/>
    <s v="INV5438"/>
    <s v="Cust_302"/>
    <s v="Female"/>
    <x v="2"/>
    <x v="3"/>
    <x v="5"/>
    <n v="13"/>
    <n v="1499"/>
    <n v="19487"/>
    <x v="0"/>
    <x v="1"/>
  </r>
  <r>
    <d v="2024-02-12T00:00:00"/>
    <s v="INV5451"/>
    <s v="Cust_65"/>
    <s v="Male"/>
    <x v="3"/>
    <x v="4"/>
    <x v="6"/>
    <n v="17"/>
    <n v="1749"/>
    <n v="29733"/>
    <x v="0"/>
    <x v="0"/>
  </r>
  <r>
    <d v="2024-02-21T00:00:00"/>
    <s v="INV5460"/>
    <s v="Cust_359"/>
    <s v="Male"/>
    <x v="4"/>
    <x v="3"/>
    <x v="3"/>
    <n v="25"/>
    <n v="1499"/>
    <n v="37475"/>
    <x v="3"/>
    <x v="2"/>
  </r>
  <r>
    <d v="2024-05-24T00:00:00"/>
    <s v="INV5462"/>
    <s v="Cust_302"/>
    <s v="Male"/>
    <x v="1"/>
    <x v="3"/>
    <x v="15"/>
    <n v="48"/>
    <n v="999"/>
    <n v="47952"/>
    <x v="0"/>
    <x v="2"/>
  </r>
  <r>
    <d v="2024-12-25T00:00:00"/>
    <s v="INV5465"/>
    <s v="Cust_7"/>
    <s v="N/A"/>
    <x v="1"/>
    <x v="1"/>
    <x v="1"/>
    <n v="3"/>
    <n v="2499"/>
    <n v="7497"/>
    <x v="2"/>
    <x v="1"/>
  </r>
  <r>
    <d v="2024-08-07T00:00:00"/>
    <s v="INV5479"/>
    <s v="Cust_297"/>
    <s v="N/A"/>
    <x v="3"/>
    <x v="2"/>
    <x v="2"/>
    <n v="22"/>
    <n v="999"/>
    <n v="21978"/>
    <x v="1"/>
    <x v="4"/>
  </r>
  <r>
    <d v="2024-04-22T00:00:00"/>
    <s v="INV5494"/>
    <s v="Cust_359"/>
    <s v="Female"/>
    <x v="4"/>
    <x v="4"/>
    <x v="6"/>
    <n v="20"/>
    <n v="3499"/>
    <n v="69980"/>
    <x v="0"/>
    <x v="0"/>
  </r>
  <r>
    <d v="2024-02-11T00:00:00"/>
    <s v="INV5497"/>
    <s v="Cust_375"/>
    <s v="Female"/>
    <x v="3"/>
    <x v="2"/>
    <x v="4"/>
    <n v="20"/>
    <n v="3499"/>
    <n v="69980"/>
    <x v="0"/>
    <x v="1"/>
  </r>
  <r>
    <d v="2024-10-15T00:00:00"/>
    <s v="INV5499"/>
    <s v="Cust_285"/>
    <s v="Male"/>
    <x v="1"/>
    <x v="3"/>
    <x v="15"/>
    <n v="28"/>
    <n v="1999"/>
    <n v="55972"/>
    <x v="1"/>
    <x v="1"/>
  </r>
  <r>
    <d v="2024-05-25T00:00:00"/>
    <s v="INV5506"/>
    <s v="Cust_231"/>
    <s v="Female"/>
    <x v="1"/>
    <x v="3"/>
    <x v="3"/>
    <n v="28"/>
    <n v="999"/>
    <n v="27972"/>
    <x v="1"/>
    <x v="1"/>
  </r>
  <r>
    <d v="2024-11-11T00:00:00"/>
    <s v="INV5520"/>
    <s v="Cust_127"/>
    <s v="Female"/>
    <x v="4"/>
    <x v="3"/>
    <x v="3"/>
    <n v="46"/>
    <n v="1624"/>
    <n v="74704"/>
    <x v="1"/>
    <x v="2"/>
  </r>
  <r>
    <d v="2024-01-19T00:00:00"/>
    <s v="INV5530"/>
    <s v="Cust_360"/>
    <s v="Male"/>
    <x v="1"/>
    <x v="1"/>
    <x v="9"/>
    <n v="38"/>
    <n v="1499"/>
    <n v="56962"/>
    <x v="0"/>
    <x v="2"/>
  </r>
  <r>
    <d v="2024-07-04T00:00:00"/>
    <s v="INV5533"/>
    <s v="Cust_352"/>
    <s v="Male"/>
    <x v="3"/>
    <x v="2"/>
    <x v="2"/>
    <n v="9"/>
    <n v="1499"/>
    <n v="13491"/>
    <x v="0"/>
    <x v="2"/>
  </r>
  <r>
    <d v="2024-04-10T00:00:00"/>
    <s v="INV5543"/>
    <s v="Cust_42"/>
    <s v="Male"/>
    <x v="3"/>
    <x v="4"/>
    <x v="6"/>
    <n v="49"/>
    <n v="1749"/>
    <n v="85701"/>
    <x v="0"/>
    <x v="0"/>
  </r>
  <r>
    <d v="2024-03-28T00:00:00"/>
    <s v="INV5552"/>
    <s v="Cust_84"/>
    <s v="N/A"/>
    <x v="4"/>
    <x v="1"/>
    <x v="9"/>
    <n v="7"/>
    <n v="1499"/>
    <n v="10493"/>
    <x v="0"/>
    <x v="2"/>
  </r>
  <r>
    <d v="2024-02-08T00:00:00"/>
    <s v="INV5554"/>
    <s v="Cust_288"/>
    <s v="Female"/>
    <x v="0"/>
    <x v="2"/>
    <x v="7"/>
    <n v="2"/>
    <n v="2499"/>
    <n v="4998"/>
    <x v="0"/>
    <x v="0"/>
  </r>
  <r>
    <d v="2024-02-08T00:00:00"/>
    <s v="INV5558"/>
    <s v="Cust_202"/>
    <s v="N/A"/>
    <x v="1"/>
    <x v="2"/>
    <x v="2"/>
    <n v="4"/>
    <n v="1845"/>
    <n v="7380"/>
    <x v="3"/>
    <x v="2"/>
  </r>
  <r>
    <d v="2024-10-04T00:00:00"/>
    <s v="INV5562"/>
    <s v="Cust_292"/>
    <s v="Male"/>
    <x v="0"/>
    <x v="0"/>
    <x v="8"/>
    <n v="6"/>
    <n v="999"/>
    <n v="5994"/>
    <x v="0"/>
    <x v="2"/>
  </r>
  <r>
    <d v="2024-05-23T00:00:00"/>
    <s v="INV5563"/>
    <s v="Cust_214"/>
    <s v="N/A"/>
    <x v="4"/>
    <x v="4"/>
    <x v="14"/>
    <n v="16"/>
    <n v="2499"/>
    <n v="39984"/>
    <x v="0"/>
    <x v="0"/>
  </r>
  <r>
    <d v="2024-08-16T00:00:00"/>
    <s v="INV5564"/>
    <s v="Cust_25"/>
    <s v="N/A"/>
    <x v="2"/>
    <x v="3"/>
    <x v="12"/>
    <n v="21"/>
    <n v="499"/>
    <n v="10479"/>
    <x v="1"/>
    <x v="2"/>
  </r>
  <r>
    <d v="2024-10-03T00:00:00"/>
    <s v="INV5569"/>
    <s v="Cust_1"/>
    <s v="Male"/>
    <x v="1"/>
    <x v="1"/>
    <x v="18"/>
    <n v="39"/>
    <n v="999"/>
    <n v="38961"/>
    <x v="0"/>
    <x v="2"/>
  </r>
  <r>
    <d v="2024-07-16T00:00:00"/>
    <s v="INV5573"/>
    <s v="Cust_354"/>
    <s v="N/A"/>
    <x v="0"/>
    <x v="3"/>
    <x v="5"/>
    <n v="43"/>
    <n v="499"/>
    <n v="21457"/>
    <x v="0"/>
    <x v="4"/>
  </r>
  <r>
    <d v="2024-01-31T00:00:00"/>
    <s v="INV5581"/>
    <s v="Cust_5"/>
    <s v="Female"/>
    <x v="0"/>
    <x v="3"/>
    <x v="12"/>
    <n v="37"/>
    <n v="3499"/>
    <n v="129463"/>
    <x v="0"/>
    <x v="1"/>
  </r>
  <r>
    <d v="2024-01-22T00:00:00"/>
    <s v="INV5616"/>
    <s v="Cust_181"/>
    <s v="Male"/>
    <x v="0"/>
    <x v="4"/>
    <x v="13"/>
    <n v="27"/>
    <n v="1749"/>
    <n v="47223"/>
    <x v="2"/>
    <x v="0"/>
  </r>
  <r>
    <d v="2024-11-16T00:00:00"/>
    <s v="INV5632"/>
    <s v="Cust_381"/>
    <s v="Male"/>
    <x v="1"/>
    <x v="3"/>
    <x v="5"/>
    <n v="9"/>
    <n v="1499"/>
    <n v="13491"/>
    <x v="3"/>
    <x v="2"/>
  </r>
  <r>
    <d v="2024-10-30T00:00:00"/>
    <s v="INV5634"/>
    <s v="Cust_92"/>
    <s v="Male"/>
    <x v="3"/>
    <x v="3"/>
    <x v="3"/>
    <n v="5"/>
    <n v="199"/>
    <n v="995"/>
    <x v="0"/>
    <x v="2"/>
  </r>
  <r>
    <d v="2024-12-26T00:00:00"/>
    <s v="INV5636"/>
    <s v="Cust_161"/>
    <s v="N/A"/>
    <x v="4"/>
    <x v="4"/>
    <x v="6"/>
    <n v="23"/>
    <n v="1499"/>
    <n v="34477"/>
    <x v="0"/>
    <x v="2"/>
  </r>
  <r>
    <d v="2024-12-15T00:00:00"/>
    <s v="INV5649"/>
    <s v="Cust_261"/>
    <s v="Female"/>
    <x v="3"/>
    <x v="2"/>
    <x v="19"/>
    <n v="31"/>
    <n v="199"/>
    <n v="6169"/>
    <x v="0"/>
    <x v="2"/>
  </r>
  <r>
    <d v="2024-02-03T00:00:00"/>
    <s v="INV5658"/>
    <s v="Cust_313"/>
    <s v="Male"/>
    <x v="3"/>
    <x v="4"/>
    <x v="11"/>
    <n v="42"/>
    <n v="199"/>
    <n v="8358"/>
    <x v="0"/>
    <x v="2"/>
  </r>
  <r>
    <d v="2024-02-23T00:00:00"/>
    <s v="INV5669"/>
    <s v="Cust_391"/>
    <s v="Male"/>
    <x v="3"/>
    <x v="1"/>
    <x v="1"/>
    <n v="37"/>
    <n v="2499"/>
    <n v="92463"/>
    <x v="3"/>
    <x v="3"/>
  </r>
  <r>
    <d v="2024-09-23T00:00:00"/>
    <s v="INV5673"/>
    <s v="Cust_360"/>
    <s v="Male"/>
    <x v="1"/>
    <x v="1"/>
    <x v="10"/>
    <n v="34"/>
    <n v="2999"/>
    <n v="101966"/>
    <x v="0"/>
    <x v="2"/>
  </r>
  <r>
    <d v="2024-05-26T00:00:00"/>
    <s v="INV5681"/>
    <s v="Cust_274"/>
    <s v="N/A"/>
    <x v="1"/>
    <x v="1"/>
    <x v="1"/>
    <n v="4"/>
    <n v="3499"/>
    <n v="13996"/>
    <x v="0"/>
    <x v="0"/>
  </r>
  <r>
    <d v="2024-12-26T00:00:00"/>
    <s v="INV5689"/>
    <s v="Cust_361"/>
    <s v="Female"/>
    <x v="0"/>
    <x v="3"/>
    <x v="5"/>
    <n v="5"/>
    <n v="2999"/>
    <n v="14995"/>
    <x v="2"/>
    <x v="2"/>
  </r>
  <r>
    <d v="2024-11-09T00:00:00"/>
    <s v="INV5700"/>
    <s v="Cust_386"/>
    <s v="Female"/>
    <x v="3"/>
    <x v="1"/>
    <x v="18"/>
    <n v="4"/>
    <n v="999"/>
    <n v="3996"/>
    <x v="2"/>
    <x v="0"/>
  </r>
  <r>
    <d v="2024-01-20T00:00:00"/>
    <s v="INV5708"/>
    <s v="Cust_285"/>
    <s v="Male"/>
    <x v="3"/>
    <x v="4"/>
    <x v="13"/>
    <n v="21"/>
    <n v="2499"/>
    <n v="52479"/>
    <x v="0"/>
    <x v="0"/>
  </r>
  <r>
    <d v="2024-07-30T00:00:00"/>
    <s v="INV5712"/>
    <s v="Cust_146"/>
    <s v="Female"/>
    <x v="3"/>
    <x v="0"/>
    <x v="17"/>
    <n v="29"/>
    <n v="1878"/>
    <n v="54462"/>
    <x v="0"/>
    <x v="0"/>
  </r>
  <r>
    <d v="2024-11-11T00:00:00"/>
    <s v="INV5719"/>
    <s v="Cust_178"/>
    <s v="N/A"/>
    <x v="1"/>
    <x v="0"/>
    <x v="17"/>
    <n v="26"/>
    <n v="3499"/>
    <n v="90974"/>
    <x v="0"/>
    <x v="0"/>
  </r>
  <r>
    <d v="2024-04-02T00:00:00"/>
    <s v="INV5720"/>
    <s v="Cust_376"/>
    <s v="Female"/>
    <x v="3"/>
    <x v="0"/>
    <x v="16"/>
    <n v="41"/>
    <n v="499"/>
    <n v="20459"/>
    <x v="0"/>
    <x v="1"/>
  </r>
  <r>
    <d v="2024-03-15T00:00:00"/>
    <s v="INV5728"/>
    <s v="Cust_395"/>
    <s v="Male"/>
    <x v="3"/>
    <x v="3"/>
    <x v="12"/>
    <n v="10"/>
    <n v="3499"/>
    <n v="34990"/>
    <x v="0"/>
    <x v="2"/>
  </r>
  <r>
    <d v="2024-08-18T00:00:00"/>
    <s v="INV5741"/>
    <s v="Cust_244"/>
    <s v="N/A"/>
    <x v="3"/>
    <x v="1"/>
    <x v="10"/>
    <n v="42"/>
    <n v="999"/>
    <n v="41958"/>
    <x v="0"/>
    <x v="0"/>
  </r>
  <r>
    <d v="2024-04-29T00:00:00"/>
    <s v="INV5771"/>
    <s v="Cust_60"/>
    <s v="Male"/>
    <x v="3"/>
    <x v="3"/>
    <x v="5"/>
    <n v="46"/>
    <n v="1999"/>
    <n v="91954"/>
    <x v="1"/>
    <x v="3"/>
  </r>
  <r>
    <d v="2024-02-29T00:00:00"/>
    <s v="INV5781"/>
    <s v="Cust_40"/>
    <s v="Male"/>
    <x v="3"/>
    <x v="1"/>
    <x v="18"/>
    <n v="20"/>
    <n v="1838"/>
    <n v="36760"/>
    <x v="1"/>
    <x v="1"/>
  </r>
  <r>
    <d v="2024-04-20T00:00:00"/>
    <s v="INV5786"/>
    <s v="Cust_263"/>
    <s v="N/A"/>
    <x v="1"/>
    <x v="2"/>
    <x v="2"/>
    <n v="21"/>
    <n v="499"/>
    <n v="10479"/>
    <x v="0"/>
    <x v="1"/>
  </r>
  <r>
    <d v="2024-09-20T00:00:00"/>
    <s v="INV5806"/>
    <s v="Cust_51"/>
    <s v="N/A"/>
    <x v="4"/>
    <x v="0"/>
    <x v="17"/>
    <n v="47"/>
    <n v="1878"/>
    <n v="88266"/>
    <x v="2"/>
    <x v="4"/>
  </r>
  <r>
    <d v="2024-02-29T00:00:00"/>
    <s v="INV5808"/>
    <s v="Cust_371"/>
    <s v="Male"/>
    <x v="0"/>
    <x v="1"/>
    <x v="9"/>
    <n v="2"/>
    <n v="1838"/>
    <n v="3676"/>
    <x v="0"/>
    <x v="1"/>
  </r>
  <r>
    <d v="2024-07-25T00:00:00"/>
    <s v="INV5820"/>
    <s v="Cust_288"/>
    <s v="Male"/>
    <x v="1"/>
    <x v="3"/>
    <x v="5"/>
    <n v="26"/>
    <n v="3499"/>
    <n v="90974"/>
    <x v="1"/>
    <x v="3"/>
  </r>
  <r>
    <d v="2024-01-20T00:00:00"/>
    <s v="INV5837"/>
    <s v="Cust_313"/>
    <s v="Male"/>
    <x v="4"/>
    <x v="2"/>
    <x v="4"/>
    <n v="13"/>
    <n v="499"/>
    <n v="6487"/>
    <x v="0"/>
    <x v="1"/>
  </r>
  <r>
    <d v="2024-11-12T00:00:00"/>
    <s v="INV5844"/>
    <s v="Cust_84"/>
    <s v="N/A"/>
    <x v="3"/>
    <x v="3"/>
    <x v="5"/>
    <n v="39"/>
    <n v="2999"/>
    <n v="116961"/>
    <x v="2"/>
    <x v="2"/>
  </r>
  <r>
    <d v="2024-10-12T00:00:00"/>
    <s v="INV5847"/>
    <s v="Cust_123"/>
    <s v="Female"/>
    <x v="1"/>
    <x v="2"/>
    <x v="4"/>
    <n v="30"/>
    <n v="499"/>
    <n v="14970"/>
    <x v="0"/>
    <x v="3"/>
  </r>
  <r>
    <d v="2024-04-04T00:00:00"/>
    <s v="INV5853"/>
    <s v="Cust_280"/>
    <s v="N/A"/>
    <x v="1"/>
    <x v="2"/>
    <x v="19"/>
    <n v="19"/>
    <n v="2499"/>
    <n v="47481"/>
    <x v="0"/>
    <x v="1"/>
  </r>
  <r>
    <d v="2024-12-08T00:00:00"/>
    <s v="INV5871"/>
    <s v="Cust_39"/>
    <s v="Female"/>
    <x v="4"/>
    <x v="3"/>
    <x v="5"/>
    <n v="13"/>
    <n v="2499"/>
    <n v="32487"/>
    <x v="0"/>
    <x v="0"/>
  </r>
  <r>
    <d v="2024-06-23T00:00:00"/>
    <s v="INV5889"/>
    <s v="Cust_163"/>
    <s v="Male"/>
    <x v="2"/>
    <x v="1"/>
    <x v="18"/>
    <n v="23"/>
    <n v="2499"/>
    <n v="57477"/>
    <x v="0"/>
    <x v="2"/>
  </r>
  <r>
    <d v="2024-03-09T00:00:00"/>
    <s v="INV5891"/>
    <s v="Cust_20"/>
    <s v="Male"/>
    <x v="3"/>
    <x v="0"/>
    <x v="17"/>
    <n v="26"/>
    <n v="2999"/>
    <n v="77974"/>
    <x v="3"/>
    <x v="4"/>
  </r>
  <r>
    <d v="2024-08-09T00:00:00"/>
    <s v="INV5892"/>
    <s v="Cust_299"/>
    <s v="Female"/>
    <x v="4"/>
    <x v="2"/>
    <x v="4"/>
    <n v="18"/>
    <n v="1499"/>
    <n v="26982"/>
    <x v="3"/>
    <x v="4"/>
  </r>
  <r>
    <d v="2024-12-30T00:00:00"/>
    <s v="INV5901"/>
    <s v="Cust_359"/>
    <s v="Male"/>
    <x v="3"/>
    <x v="3"/>
    <x v="15"/>
    <n v="42"/>
    <n v="499"/>
    <n v="20958"/>
    <x v="0"/>
    <x v="1"/>
  </r>
  <r>
    <d v="2024-01-20T00:00:00"/>
    <s v="INV5905"/>
    <s v="Cust_334"/>
    <s v="N/A"/>
    <x v="3"/>
    <x v="3"/>
    <x v="15"/>
    <n v="8"/>
    <n v="199"/>
    <n v="1592"/>
    <x v="0"/>
    <x v="1"/>
  </r>
  <r>
    <d v="2024-05-19T00:00:00"/>
    <s v="INV5906"/>
    <s v="Cust_108"/>
    <s v="Female"/>
    <x v="3"/>
    <x v="3"/>
    <x v="5"/>
    <n v="26"/>
    <n v="1499"/>
    <n v="38974"/>
    <x v="0"/>
    <x v="1"/>
  </r>
  <r>
    <d v="2024-09-10T00:00:00"/>
    <s v="INV5915"/>
    <s v="Cust_296"/>
    <s v="Male"/>
    <x v="3"/>
    <x v="4"/>
    <x v="13"/>
    <n v="27"/>
    <n v="199"/>
    <n v="5373"/>
    <x v="0"/>
    <x v="2"/>
  </r>
  <r>
    <d v="2024-01-28T00:00:00"/>
    <s v="INV5941"/>
    <s v="Cust_244"/>
    <s v="Male"/>
    <x v="2"/>
    <x v="4"/>
    <x v="14"/>
    <n v="1"/>
    <n v="3499"/>
    <n v="3499"/>
    <x v="1"/>
    <x v="2"/>
  </r>
  <r>
    <d v="2024-10-22T00:00:00"/>
    <s v="INV5949"/>
    <s v="Cust_399"/>
    <s v="N/A"/>
    <x v="2"/>
    <x v="2"/>
    <x v="19"/>
    <n v="40"/>
    <n v="499"/>
    <n v="19960"/>
    <x v="0"/>
    <x v="0"/>
  </r>
  <r>
    <d v="2024-12-25T00:00:00"/>
    <s v="INV5951"/>
    <s v="Cust_240"/>
    <s v="Male"/>
    <x v="2"/>
    <x v="3"/>
    <x v="5"/>
    <n v="37"/>
    <n v="3499"/>
    <n v="129463"/>
    <x v="1"/>
    <x v="0"/>
  </r>
  <r>
    <d v="2024-11-21T00:00:00"/>
    <s v="INV5952"/>
    <s v="Cust_142"/>
    <s v="N/A"/>
    <x v="3"/>
    <x v="1"/>
    <x v="1"/>
    <n v="4"/>
    <n v="2999"/>
    <n v="11996"/>
    <x v="0"/>
    <x v="3"/>
  </r>
  <r>
    <d v="2024-05-26T00:00:00"/>
    <s v="INV5956"/>
    <s v="Cust_281"/>
    <s v="Male"/>
    <x v="3"/>
    <x v="2"/>
    <x v="2"/>
    <n v="6"/>
    <n v="1499"/>
    <n v="8994"/>
    <x v="0"/>
    <x v="0"/>
  </r>
  <r>
    <d v="2024-02-12T00:00:00"/>
    <s v="INV5982"/>
    <s v="Cust_239"/>
    <s v="N/A"/>
    <x v="0"/>
    <x v="2"/>
    <x v="7"/>
    <n v="4"/>
    <n v="999"/>
    <n v="3996"/>
    <x v="0"/>
    <x v="0"/>
  </r>
  <r>
    <d v="2024-02-07T00:00:00"/>
    <s v="INV5986"/>
    <s v="Cust_111"/>
    <s v="Male"/>
    <x v="3"/>
    <x v="1"/>
    <x v="1"/>
    <n v="37"/>
    <n v="2499"/>
    <n v="92463"/>
    <x v="2"/>
    <x v="0"/>
  </r>
  <r>
    <d v="2024-04-04T00:00:00"/>
    <s v="INV6000"/>
    <s v="Cust_131"/>
    <s v="Female"/>
    <x v="1"/>
    <x v="0"/>
    <x v="16"/>
    <n v="3"/>
    <n v="999"/>
    <n v="2997"/>
    <x v="0"/>
    <x v="1"/>
  </r>
  <r>
    <d v="2024-07-07T00:00:00"/>
    <s v="INV6003"/>
    <s v="Cust_20"/>
    <s v="N/A"/>
    <x v="3"/>
    <x v="3"/>
    <x v="5"/>
    <n v="46"/>
    <n v="3499"/>
    <n v="160954"/>
    <x v="1"/>
    <x v="0"/>
  </r>
  <r>
    <d v="2024-03-29T00:00:00"/>
    <s v="INV6016"/>
    <s v="Cust_243"/>
    <s v="Male"/>
    <x v="0"/>
    <x v="2"/>
    <x v="19"/>
    <n v="22"/>
    <n v="3499"/>
    <n v="76978"/>
    <x v="0"/>
    <x v="0"/>
  </r>
  <r>
    <d v="2024-01-13T00:00:00"/>
    <s v="INV6023"/>
    <s v="Cust_20"/>
    <s v="Female"/>
    <x v="1"/>
    <x v="0"/>
    <x v="8"/>
    <n v="18"/>
    <n v="199"/>
    <n v="3582"/>
    <x v="0"/>
    <x v="0"/>
  </r>
  <r>
    <d v="2024-04-12T00:00:00"/>
    <s v="INV6039"/>
    <s v="Cust_19"/>
    <s v="Female"/>
    <x v="1"/>
    <x v="3"/>
    <x v="3"/>
    <n v="37"/>
    <n v="1499"/>
    <n v="55463"/>
    <x v="2"/>
    <x v="3"/>
  </r>
  <r>
    <d v="2024-10-03T00:00:00"/>
    <s v="INV6050"/>
    <s v="Cust_264"/>
    <s v="Male"/>
    <x v="2"/>
    <x v="3"/>
    <x v="12"/>
    <n v="14"/>
    <n v="2499"/>
    <n v="34986"/>
    <x v="0"/>
    <x v="2"/>
  </r>
  <r>
    <d v="2024-09-20T00:00:00"/>
    <s v="INV6061"/>
    <s v="Cust_323"/>
    <s v="N/A"/>
    <x v="4"/>
    <x v="4"/>
    <x v="11"/>
    <n v="15"/>
    <n v="999"/>
    <n v="14985"/>
    <x v="0"/>
    <x v="1"/>
  </r>
  <r>
    <d v="2024-09-11T00:00:00"/>
    <s v="INV6067"/>
    <s v="Cust_345"/>
    <s v="Female"/>
    <x v="2"/>
    <x v="4"/>
    <x v="14"/>
    <n v="3"/>
    <n v="2499"/>
    <n v="7497"/>
    <x v="3"/>
    <x v="2"/>
  </r>
  <r>
    <d v="2024-10-03T00:00:00"/>
    <s v="INV6085"/>
    <s v="Cust_211"/>
    <s v="Male"/>
    <x v="3"/>
    <x v="1"/>
    <x v="1"/>
    <n v="19"/>
    <n v="2499"/>
    <n v="47481"/>
    <x v="0"/>
    <x v="2"/>
  </r>
  <r>
    <d v="2024-04-21T00:00:00"/>
    <s v="INV6091"/>
    <s v="Cust_129"/>
    <s v="Female"/>
    <x v="4"/>
    <x v="1"/>
    <x v="9"/>
    <n v="11"/>
    <n v="199"/>
    <n v="2189"/>
    <x v="3"/>
    <x v="2"/>
  </r>
  <r>
    <d v="2024-04-22T00:00:00"/>
    <s v="INV6096"/>
    <s v="Cust_82"/>
    <s v="Female"/>
    <x v="2"/>
    <x v="3"/>
    <x v="5"/>
    <n v="45"/>
    <n v="1999"/>
    <n v="89955"/>
    <x v="0"/>
    <x v="4"/>
  </r>
  <r>
    <d v="2024-05-15T00:00:00"/>
    <s v="INV6107"/>
    <s v="Cust_294"/>
    <s v="N/A"/>
    <x v="3"/>
    <x v="4"/>
    <x v="13"/>
    <n v="48"/>
    <n v="3499"/>
    <n v="167952"/>
    <x v="1"/>
    <x v="4"/>
  </r>
  <r>
    <d v="2024-05-05T00:00:00"/>
    <s v="INV6111"/>
    <s v="Cust_330"/>
    <s v="N/A"/>
    <x v="0"/>
    <x v="0"/>
    <x v="8"/>
    <n v="27"/>
    <n v="199"/>
    <n v="5373"/>
    <x v="2"/>
    <x v="0"/>
  </r>
  <r>
    <d v="2024-09-23T00:00:00"/>
    <s v="INV6138"/>
    <s v="Cust_90"/>
    <s v="Male"/>
    <x v="2"/>
    <x v="2"/>
    <x v="19"/>
    <n v="14"/>
    <n v="1845"/>
    <n v="25830"/>
    <x v="0"/>
    <x v="2"/>
  </r>
  <r>
    <d v="2024-06-18T00:00:00"/>
    <s v="INV6139"/>
    <s v="Cust_340"/>
    <s v="Male"/>
    <x v="1"/>
    <x v="2"/>
    <x v="4"/>
    <n v="3"/>
    <n v="2999"/>
    <n v="8997"/>
    <x v="1"/>
    <x v="4"/>
  </r>
  <r>
    <d v="2024-03-18T00:00:00"/>
    <s v="INV6143"/>
    <s v="Cust_234"/>
    <s v="Male"/>
    <x v="3"/>
    <x v="2"/>
    <x v="7"/>
    <n v="30"/>
    <n v="2499"/>
    <n v="74970"/>
    <x v="0"/>
    <x v="2"/>
  </r>
  <r>
    <d v="2024-08-22T00:00:00"/>
    <s v="INV6147"/>
    <s v="Cust_207"/>
    <s v="N/A"/>
    <x v="0"/>
    <x v="2"/>
    <x v="19"/>
    <n v="4"/>
    <n v="1845"/>
    <n v="7380"/>
    <x v="1"/>
    <x v="1"/>
  </r>
  <r>
    <d v="2024-11-16T00:00:00"/>
    <s v="INV6153"/>
    <s v="Cust_192"/>
    <s v="Female"/>
    <x v="1"/>
    <x v="3"/>
    <x v="15"/>
    <n v="7"/>
    <n v="199"/>
    <n v="1393"/>
    <x v="0"/>
    <x v="1"/>
  </r>
  <r>
    <d v="2024-10-28T00:00:00"/>
    <s v="INV6155"/>
    <s v="Cust_175"/>
    <s v="Female"/>
    <x v="1"/>
    <x v="1"/>
    <x v="10"/>
    <n v="2"/>
    <n v="1838"/>
    <n v="3676"/>
    <x v="2"/>
    <x v="0"/>
  </r>
  <r>
    <d v="2024-06-02T00:00:00"/>
    <s v="INV6168"/>
    <s v="Cust_96"/>
    <s v="Male"/>
    <x v="2"/>
    <x v="0"/>
    <x v="8"/>
    <n v="36"/>
    <n v="1999"/>
    <n v="71964"/>
    <x v="2"/>
    <x v="4"/>
  </r>
  <r>
    <d v="2024-01-23T00:00:00"/>
    <s v="INV6180"/>
    <s v="Cust_309"/>
    <s v="N/A"/>
    <x v="1"/>
    <x v="1"/>
    <x v="10"/>
    <n v="42"/>
    <n v="1499"/>
    <n v="62958"/>
    <x v="0"/>
    <x v="2"/>
  </r>
  <r>
    <d v="2024-06-16T00:00:00"/>
    <s v="INV6183"/>
    <s v="Cust_280"/>
    <s v="N/A"/>
    <x v="3"/>
    <x v="4"/>
    <x v="13"/>
    <n v="7"/>
    <n v="3499"/>
    <n v="24493"/>
    <x v="0"/>
    <x v="2"/>
  </r>
  <r>
    <d v="2024-05-23T00:00:00"/>
    <s v="INV6188"/>
    <s v="Cust_282"/>
    <s v="Male"/>
    <x v="4"/>
    <x v="1"/>
    <x v="1"/>
    <n v="11"/>
    <n v="1838"/>
    <n v="20218"/>
    <x v="3"/>
    <x v="3"/>
  </r>
  <r>
    <d v="2024-11-24T00:00:00"/>
    <s v="INV6198"/>
    <s v="Cust_148"/>
    <s v="N/A"/>
    <x v="3"/>
    <x v="4"/>
    <x v="13"/>
    <n v="19"/>
    <n v="2999"/>
    <n v="56981"/>
    <x v="0"/>
    <x v="2"/>
  </r>
  <r>
    <d v="2024-11-07T00:00:00"/>
    <s v="INV6213"/>
    <s v="Cust_301"/>
    <s v="Male"/>
    <x v="0"/>
    <x v="2"/>
    <x v="2"/>
    <n v="44"/>
    <n v="2499"/>
    <n v="109956"/>
    <x v="2"/>
    <x v="4"/>
  </r>
  <r>
    <d v="2024-04-08T00:00:00"/>
    <s v="INV6238"/>
    <s v="Cust_86"/>
    <s v="N/A"/>
    <x v="3"/>
    <x v="1"/>
    <x v="1"/>
    <n v="2"/>
    <n v="2499"/>
    <n v="4998"/>
    <x v="0"/>
    <x v="4"/>
  </r>
  <r>
    <d v="2024-03-10T00:00:00"/>
    <s v="INV6260"/>
    <s v="Cust_29"/>
    <s v="Male"/>
    <x v="0"/>
    <x v="4"/>
    <x v="14"/>
    <n v="44"/>
    <n v="2999"/>
    <n v="131956"/>
    <x v="0"/>
    <x v="2"/>
  </r>
  <r>
    <d v="2024-04-23T00:00:00"/>
    <s v="INV6272"/>
    <s v="Cust_188"/>
    <s v="Female"/>
    <x v="4"/>
    <x v="2"/>
    <x v="4"/>
    <n v="11"/>
    <n v="199"/>
    <n v="2189"/>
    <x v="1"/>
    <x v="2"/>
  </r>
  <r>
    <d v="2024-12-22T00:00:00"/>
    <s v="INV6279"/>
    <s v="Cust_346"/>
    <s v="N/A"/>
    <x v="2"/>
    <x v="0"/>
    <x v="8"/>
    <n v="35"/>
    <n v="999"/>
    <n v="34965"/>
    <x v="0"/>
    <x v="2"/>
  </r>
  <r>
    <d v="2024-04-10T00:00:00"/>
    <s v="INV6296"/>
    <s v="Cust_251"/>
    <s v="N/A"/>
    <x v="3"/>
    <x v="0"/>
    <x v="0"/>
    <n v="5"/>
    <n v="2999"/>
    <n v="14995"/>
    <x v="2"/>
    <x v="0"/>
  </r>
  <r>
    <d v="2024-09-29T00:00:00"/>
    <s v="INV6310"/>
    <s v="Cust_2"/>
    <s v="Male"/>
    <x v="3"/>
    <x v="1"/>
    <x v="18"/>
    <n v="16"/>
    <n v="2499"/>
    <n v="39984"/>
    <x v="2"/>
    <x v="2"/>
  </r>
  <r>
    <d v="2024-06-09T00:00:00"/>
    <s v="INV6313"/>
    <s v="Cust_73"/>
    <s v="N/A"/>
    <x v="3"/>
    <x v="3"/>
    <x v="15"/>
    <n v="4"/>
    <n v="1624"/>
    <n v="6496"/>
    <x v="0"/>
    <x v="4"/>
  </r>
  <r>
    <d v="2024-06-11T00:00:00"/>
    <s v="INV6314"/>
    <s v="Cust_175"/>
    <s v="Male"/>
    <x v="2"/>
    <x v="3"/>
    <x v="15"/>
    <n v="39"/>
    <n v="1624"/>
    <n v="63336"/>
    <x v="0"/>
    <x v="2"/>
  </r>
  <r>
    <d v="2024-01-19T00:00:00"/>
    <s v="INV6325"/>
    <s v="Cust_80"/>
    <s v="Male"/>
    <x v="3"/>
    <x v="4"/>
    <x v="14"/>
    <n v="25"/>
    <n v="2499"/>
    <n v="62475"/>
    <x v="1"/>
    <x v="2"/>
  </r>
  <r>
    <d v="2024-06-19T00:00:00"/>
    <s v="INV6344"/>
    <s v="Cust_214"/>
    <s v="N/A"/>
    <x v="0"/>
    <x v="2"/>
    <x v="2"/>
    <n v="34"/>
    <n v="999"/>
    <n v="33966"/>
    <x v="0"/>
    <x v="1"/>
  </r>
  <r>
    <d v="2024-08-04T00:00:00"/>
    <s v="INV6352"/>
    <s v="Cust_61"/>
    <s v="N/A"/>
    <x v="1"/>
    <x v="4"/>
    <x v="13"/>
    <n v="36"/>
    <n v="3499"/>
    <n v="125964"/>
    <x v="0"/>
    <x v="2"/>
  </r>
  <r>
    <d v="2024-07-19T00:00:00"/>
    <s v="INV6355"/>
    <s v="Cust_131"/>
    <s v="Male"/>
    <x v="1"/>
    <x v="1"/>
    <x v="9"/>
    <n v="25"/>
    <n v="3499"/>
    <n v="87475"/>
    <x v="3"/>
    <x v="2"/>
  </r>
  <r>
    <d v="2024-03-29T00:00:00"/>
    <s v="INV6363"/>
    <s v="Cust_59"/>
    <s v="N/A"/>
    <x v="3"/>
    <x v="2"/>
    <x v="7"/>
    <n v="48"/>
    <n v="199"/>
    <n v="9552"/>
    <x v="2"/>
    <x v="1"/>
  </r>
  <r>
    <d v="2024-06-21T00:00:00"/>
    <s v="INV6374"/>
    <s v="Cust_301"/>
    <s v="Female"/>
    <x v="2"/>
    <x v="0"/>
    <x v="17"/>
    <n v="41"/>
    <n v="3499"/>
    <n v="143459"/>
    <x v="1"/>
    <x v="0"/>
  </r>
  <r>
    <d v="2024-02-18T00:00:00"/>
    <s v="INV6378"/>
    <s v="Cust_361"/>
    <s v="Female"/>
    <x v="1"/>
    <x v="3"/>
    <x v="5"/>
    <n v="21"/>
    <n v="999"/>
    <n v="20979"/>
    <x v="1"/>
    <x v="1"/>
  </r>
  <r>
    <d v="2024-05-10T00:00:00"/>
    <s v="INV6383"/>
    <s v="Cust_282"/>
    <s v="Male"/>
    <x v="3"/>
    <x v="4"/>
    <x v="14"/>
    <n v="3"/>
    <n v="199"/>
    <n v="597"/>
    <x v="0"/>
    <x v="2"/>
  </r>
  <r>
    <d v="2024-10-26T00:00:00"/>
    <s v="INV6403"/>
    <s v="Cust_261"/>
    <s v="N/A"/>
    <x v="0"/>
    <x v="2"/>
    <x v="7"/>
    <n v="5"/>
    <n v="1499"/>
    <n v="7495"/>
    <x v="1"/>
    <x v="0"/>
  </r>
  <r>
    <d v="2024-11-23T00:00:00"/>
    <s v="INV6409"/>
    <s v="Cust_137"/>
    <s v="Male"/>
    <x v="2"/>
    <x v="4"/>
    <x v="13"/>
    <n v="32"/>
    <n v="199"/>
    <n v="6368"/>
    <x v="1"/>
    <x v="0"/>
  </r>
  <r>
    <d v="2024-09-28T00:00:00"/>
    <s v="INV6413"/>
    <s v="Cust_26"/>
    <s v="N/A"/>
    <x v="1"/>
    <x v="0"/>
    <x v="17"/>
    <n v="41"/>
    <n v="199"/>
    <n v="8159"/>
    <x v="0"/>
    <x v="1"/>
  </r>
  <r>
    <d v="2024-10-20T00:00:00"/>
    <s v="INV6419"/>
    <s v="Cust_397"/>
    <s v="N/A"/>
    <x v="3"/>
    <x v="3"/>
    <x v="5"/>
    <n v="13"/>
    <n v="1624"/>
    <n v="21112"/>
    <x v="2"/>
    <x v="0"/>
  </r>
  <r>
    <d v="2024-12-08T00:00:00"/>
    <s v="INV6421"/>
    <s v="Cust_380"/>
    <s v="Male"/>
    <x v="1"/>
    <x v="1"/>
    <x v="9"/>
    <n v="43"/>
    <n v="3499"/>
    <n v="150457"/>
    <x v="1"/>
    <x v="2"/>
  </r>
  <r>
    <d v="2024-11-01T00:00:00"/>
    <s v="INV6425"/>
    <s v="Cust_8"/>
    <s v="Male"/>
    <x v="2"/>
    <x v="2"/>
    <x v="4"/>
    <n v="9"/>
    <n v="1499"/>
    <n v="13491"/>
    <x v="0"/>
    <x v="2"/>
  </r>
  <r>
    <d v="2024-01-09T00:00:00"/>
    <s v="INV6439"/>
    <s v="Cust_215"/>
    <s v="Female"/>
    <x v="1"/>
    <x v="1"/>
    <x v="9"/>
    <n v="36"/>
    <n v="199"/>
    <n v="7164"/>
    <x v="0"/>
    <x v="4"/>
  </r>
  <r>
    <d v="2024-10-12T00:00:00"/>
    <s v="INV6442"/>
    <s v="Cust_181"/>
    <s v="N/A"/>
    <x v="4"/>
    <x v="2"/>
    <x v="4"/>
    <n v="46"/>
    <n v="1999"/>
    <n v="91954"/>
    <x v="2"/>
    <x v="4"/>
  </r>
  <r>
    <d v="2024-09-11T00:00:00"/>
    <s v="INV6446"/>
    <s v="Cust_356"/>
    <s v="N/A"/>
    <x v="1"/>
    <x v="1"/>
    <x v="18"/>
    <n v="23"/>
    <n v="499"/>
    <n v="11477"/>
    <x v="0"/>
    <x v="3"/>
  </r>
  <r>
    <d v="2024-07-26T00:00:00"/>
    <s v="INV6460"/>
    <s v="Cust_330"/>
    <s v="Female"/>
    <x v="1"/>
    <x v="0"/>
    <x v="17"/>
    <n v="37"/>
    <n v="499"/>
    <n v="18463"/>
    <x v="0"/>
    <x v="0"/>
  </r>
  <r>
    <d v="2024-11-25T00:00:00"/>
    <s v="INV6491"/>
    <s v="Cust_379"/>
    <s v="Male"/>
    <x v="3"/>
    <x v="2"/>
    <x v="2"/>
    <n v="19"/>
    <n v="2499"/>
    <n v="47481"/>
    <x v="1"/>
    <x v="4"/>
  </r>
  <r>
    <d v="2024-12-02T00:00:00"/>
    <s v="INV6502"/>
    <s v="Cust_34"/>
    <s v="Male"/>
    <x v="1"/>
    <x v="0"/>
    <x v="17"/>
    <n v="43"/>
    <n v="999"/>
    <n v="42957"/>
    <x v="3"/>
    <x v="2"/>
  </r>
  <r>
    <d v="2024-08-02T00:00:00"/>
    <s v="INV6507"/>
    <s v="Cust_104"/>
    <s v="Female"/>
    <x v="4"/>
    <x v="1"/>
    <x v="9"/>
    <n v="38"/>
    <n v="3499"/>
    <n v="132962"/>
    <x v="2"/>
    <x v="2"/>
  </r>
  <r>
    <d v="2024-10-03T00:00:00"/>
    <s v="INV6511"/>
    <s v="Cust_36"/>
    <s v="N/A"/>
    <x v="3"/>
    <x v="3"/>
    <x v="3"/>
    <n v="13"/>
    <n v="2499"/>
    <n v="32487"/>
    <x v="1"/>
    <x v="0"/>
  </r>
  <r>
    <d v="2024-08-16T00:00:00"/>
    <s v="INV6514"/>
    <s v="Cust_216"/>
    <s v="Female"/>
    <x v="3"/>
    <x v="0"/>
    <x v="8"/>
    <n v="22"/>
    <n v="2499"/>
    <n v="54978"/>
    <x v="1"/>
    <x v="2"/>
  </r>
  <r>
    <d v="2024-12-11T00:00:00"/>
    <s v="INV6529"/>
    <s v="Cust_293"/>
    <s v="Male"/>
    <x v="3"/>
    <x v="1"/>
    <x v="9"/>
    <n v="1"/>
    <n v="1999"/>
    <n v="1999"/>
    <x v="1"/>
    <x v="1"/>
  </r>
  <r>
    <d v="2024-07-05T00:00:00"/>
    <s v="INV6539"/>
    <s v="Cust_364"/>
    <s v="Female"/>
    <x v="4"/>
    <x v="4"/>
    <x v="11"/>
    <n v="22"/>
    <n v="1749"/>
    <n v="38478"/>
    <x v="0"/>
    <x v="1"/>
  </r>
  <r>
    <d v="2024-07-04T00:00:00"/>
    <s v="INV6546"/>
    <s v="Cust_207"/>
    <s v="Male"/>
    <x v="3"/>
    <x v="2"/>
    <x v="19"/>
    <n v="5"/>
    <n v="2999"/>
    <n v="14995"/>
    <x v="1"/>
    <x v="1"/>
  </r>
  <r>
    <d v="2024-05-27T00:00:00"/>
    <s v="INV6549"/>
    <s v="Cust_188"/>
    <s v="Female"/>
    <x v="4"/>
    <x v="0"/>
    <x v="17"/>
    <n v="1"/>
    <n v="2499"/>
    <n v="2499"/>
    <x v="0"/>
    <x v="0"/>
  </r>
  <r>
    <d v="2024-09-29T00:00:00"/>
    <s v="INV6559"/>
    <s v="Cust_72"/>
    <s v="Male"/>
    <x v="3"/>
    <x v="0"/>
    <x v="0"/>
    <n v="24"/>
    <n v="2999"/>
    <n v="71976"/>
    <x v="0"/>
    <x v="2"/>
  </r>
  <r>
    <d v="2024-12-24T00:00:00"/>
    <s v="INV6568"/>
    <s v="Cust_143"/>
    <s v="Female"/>
    <x v="1"/>
    <x v="2"/>
    <x v="2"/>
    <n v="0"/>
    <n v="199"/>
    <n v="0"/>
    <x v="0"/>
    <x v="3"/>
  </r>
  <r>
    <d v="2024-03-07T00:00:00"/>
    <s v="INV6573"/>
    <s v="Cust_186"/>
    <s v="Male"/>
    <x v="3"/>
    <x v="0"/>
    <x v="16"/>
    <n v="0"/>
    <n v="3499"/>
    <n v="0"/>
    <x v="0"/>
    <x v="3"/>
  </r>
  <r>
    <d v="2024-07-31T00:00:00"/>
    <s v="INV6574"/>
    <s v="Cust_225"/>
    <s v="N/A"/>
    <x v="3"/>
    <x v="3"/>
    <x v="15"/>
    <n v="28"/>
    <n v="1999"/>
    <n v="55972"/>
    <x v="0"/>
    <x v="3"/>
  </r>
  <r>
    <d v="2024-09-29T00:00:00"/>
    <s v="INV6576"/>
    <s v="Cust_269"/>
    <s v="Male"/>
    <x v="3"/>
    <x v="1"/>
    <x v="18"/>
    <n v="13"/>
    <n v="1838"/>
    <n v="23894"/>
    <x v="2"/>
    <x v="3"/>
  </r>
  <r>
    <d v="2024-05-19T00:00:00"/>
    <s v="INV6582"/>
    <s v="Cust_9"/>
    <s v="Female"/>
    <x v="1"/>
    <x v="1"/>
    <x v="18"/>
    <n v="2"/>
    <n v="2499"/>
    <n v="4998"/>
    <x v="2"/>
    <x v="0"/>
  </r>
  <r>
    <d v="2024-11-03T00:00:00"/>
    <s v="INV6590"/>
    <s v="Cust_200"/>
    <s v="Female"/>
    <x v="1"/>
    <x v="3"/>
    <x v="12"/>
    <n v="16"/>
    <n v="1499"/>
    <n v="23984"/>
    <x v="0"/>
    <x v="4"/>
  </r>
  <r>
    <d v="2024-09-08T00:00:00"/>
    <s v="INV6617"/>
    <s v="Cust_344"/>
    <s v="Male"/>
    <x v="2"/>
    <x v="3"/>
    <x v="12"/>
    <n v="6"/>
    <n v="1999"/>
    <n v="11994"/>
    <x v="1"/>
    <x v="1"/>
  </r>
  <r>
    <d v="2024-08-12T00:00:00"/>
    <s v="INV6632"/>
    <s v="Cust_327"/>
    <s v="Female"/>
    <x v="2"/>
    <x v="0"/>
    <x v="16"/>
    <n v="6"/>
    <n v="1499"/>
    <n v="8994"/>
    <x v="1"/>
    <x v="2"/>
  </r>
  <r>
    <d v="2024-06-02T00:00:00"/>
    <s v="INV6635"/>
    <s v="Cust_192"/>
    <s v="Female"/>
    <x v="2"/>
    <x v="1"/>
    <x v="1"/>
    <n v="41"/>
    <n v="1999"/>
    <n v="81959"/>
    <x v="0"/>
    <x v="1"/>
  </r>
  <r>
    <d v="2024-10-10T00:00:00"/>
    <s v="INV6654"/>
    <s v="Cust_96"/>
    <s v="N/A"/>
    <x v="4"/>
    <x v="4"/>
    <x v="11"/>
    <n v="37"/>
    <n v="199"/>
    <n v="7363"/>
    <x v="3"/>
    <x v="0"/>
  </r>
  <r>
    <d v="2024-05-31T00:00:00"/>
    <s v="INV6661"/>
    <s v="Cust_259"/>
    <s v="Male"/>
    <x v="4"/>
    <x v="2"/>
    <x v="19"/>
    <n v="37"/>
    <n v="2999"/>
    <n v="110963"/>
    <x v="0"/>
    <x v="1"/>
  </r>
  <r>
    <d v="2024-10-29T00:00:00"/>
    <s v="INV6663"/>
    <s v="Cust_323"/>
    <s v="Female"/>
    <x v="0"/>
    <x v="1"/>
    <x v="1"/>
    <n v="3"/>
    <n v="499"/>
    <n v="1497"/>
    <x v="2"/>
    <x v="1"/>
  </r>
  <r>
    <d v="2024-11-19T00:00:00"/>
    <s v="INV6688"/>
    <s v="Cust_295"/>
    <s v="N/A"/>
    <x v="1"/>
    <x v="4"/>
    <x v="6"/>
    <n v="2"/>
    <n v="199"/>
    <n v="398"/>
    <x v="1"/>
    <x v="0"/>
  </r>
  <r>
    <d v="2024-01-05T00:00:00"/>
    <s v="INV6700"/>
    <s v="Cust_376"/>
    <s v="Male"/>
    <x v="2"/>
    <x v="3"/>
    <x v="15"/>
    <n v="23"/>
    <n v="499"/>
    <n v="11477"/>
    <x v="3"/>
    <x v="0"/>
  </r>
  <r>
    <d v="2024-01-06T00:00:00"/>
    <s v="INV6718"/>
    <s v="Cust_150"/>
    <s v="Male"/>
    <x v="3"/>
    <x v="2"/>
    <x v="19"/>
    <n v="10"/>
    <n v="3499"/>
    <n v="34990"/>
    <x v="0"/>
    <x v="2"/>
  </r>
  <r>
    <d v="2024-09-12T00:00:00"/>
    <s v="INV6728"/>
    <s v="Cust_337"/>
    <s v="Male"/>
    <x v="4"/>
    <x v="4"/>
    <x v="6"/>
    <n v="12"/>
    <n v="2499"/>
    <n v="29988"/>
    <x v="1"/>
    <x v="4"/>
  </r>
  <r>
    <d v="2024-12-23T00:00:00"/>
    <s v="INV6733"/>
    <s v="Cust_166"/>
    <s v="Female"/>
    <x v="1"/>
    <x v="0"/>
    <x v="17"/>
    <n v="3"/>
    <n v="1999"/>
    <n v="5997"/>
    <x v="0"/>
    <x v="0"/>
  </r>
  <r>
    <d v="2024-11-23T00:00:00"/>
    <s v="INV6763"/>
    <s v="Cust_127"/>
    <s v="Female"/>
    <x v="1"/>
    <x v="2"/>
    <x v="2"/>
    <n v="39"/>
    <n v="2999"/>
    <n v="116961"/>
    <x v="3"/>
    <x v="1"/>
  </r>
  <r>
    <d v="2024-02-23T00:00:00"/>
    <s v="INV6764"/>
    <s v="Cust_210"/>
    <s v="N/A"/>
    <x v="3"/>
    <x v="4"/>
    <x v="6"/>
    <n v="15"/>
    <n v="499"/>
    <n v="7485"/>
    <x v="1"/>
    <x v="2"/>
  </r>
  <r>
    <d v="2024-06-20T00:00:00"/>
    <s v="INV6772"/>
    <s v="Cust_147"/>
    <s v="Male"/>
    <x v="4"/>
    <x v="2"/>
    <x v="7"/>
    <n v="30"/>
    <n v="999"/>
    <n v="29970"/>
    <x v="0"/>
    <x v="2"/>
  </r>
  <r>
    <d v="2024-10-16T00:00:00"/>
    <s v="INV6794"/>
    <s v="Cust_118"/>
    <s v="Female"/>
    <x v="3"/>
    <x v="2"/>
    <x v="2"/>
    <n v="17"/>
    <n v="999"/>
    <n v="16983"/>
    <x v="1"/>
    <x v="1"/>
  </r>
  <r>
    <d v="2024-02-07T00:00:00"/>
    <s v="INV6804"/>
    <s v="Cust_239"/>
    <s v="N/A"/>
    <x v="1"/>
    <x v="0"/>
    <x v="8"/>
    <n v="8"/>
    <n v="3499"/>
    <n v="27992"/>
    <x v="0"/>
    <x v="0"/>
  </r>
  <r>
    <d v="2024-10-09T00:00:00"/>
    <s v="INV6813"/>
    <s v="Cust_342"/>
    <s v="Male"/>
    <x v="3"/>
    <x v="3"/>
    <x v="15"/>
    <n v="9"/>
    <n v="999"/>
    <n v="8991"/>
    <x v="0"/>
    <x v="2"/>
  </r>
  <r>
    <d v="2024-08-14T00:00:00"/>
    <s v="INV6820"/>
    <s v="Cust_49"/>
    <s v="Female"/>
    <x v="3"/>
    <x v="2"/>
    <x v="2"/>
    <n v="3"/>
    <n v="1845"/>
    <n v="5535"/>
    <x v="2"/>
    <x v="0"/>
  </r>
  <r>
    <d v="2024-03-18T00:00:00"/>
    <s v="INV6862"/>
    <s v="Cust_148"/>
    <s v="Female"/>
    <x v="4"/>
    <x v="2"/>
    <x v="19"/>
    <n v="19"/>
    <n v="2499"/>
    <n v="47481"/>
    <x v="0"/>
    <x v="1"/>
  </r>
  <r>
    <d v="2024-06-28T00:00:00"/>
    <s v="INV6873"/>
    <s v="Cust_81"/>
    <s v="Female"/>
    <x v="1"/>
    <x v="0"/>
    <x v="16"/>
    <n v="40"/>
    <n v="1999"/>
    <n v="79960"/>
    <x v="3"/>
    <x v="1"/>
  </r>
  <r>
    <d v="2024-08-01T00:00:00"/>
    <s v="INV6876"/>
    <s v="Cust_323"/>
    <s v="Female"/>
    <x v="3"/>
    <x v="1"/>
    <x v="18"/>
    <n v="46"/>
    <n v="999"/>
    <n v="45954"/>
    <x v="0"/>
    <x v="2"/>
  </r>
  <r>
    <d v="2024-09-20T00:00:00"/>
    <s v="INV6912"/>
    <s v="Cust_69"/>
    <s v="N/A"/>
    <x v="3"/>
    <x v="3"/>
    <x v="3"/>
    <n v="3"/>
    <n v="1624"/>
    <n v="4872"/>
    <x v="0"/>
    <x v="0"/>
  </r>
  <r>
    <d v="2024-04-07T00:00:00"/>
    <s v="INV6925"/>
    <s v="Cust_39"/>
    <s v="Female"/>
    <x v="4"/>
    <x v="0"/>
    <x v="16"/>
    <n v="24"/>
    <n v="3499"/>
    <n v="83976"/>
    <x v="0"/>
    <x v="1"/>
  </r>
  <r>
    <d v="2024-09-15T00:00:00"/>
    <s v="INV6927"/>
    <s v="Cust_267"/>
    <s v="Male"/>
    <x v="3"/>
    <x v="1"/>
    <x v="10"/>
    <n v="41"/>
    <n v="499"/>
    <n v="20459"/>
    <x v="0"/>
    <x v="2"/>
  </r>
  <r>
    <d v="2024-02-07T00:00:00"/>
    <s v="INV6930"/>
    <s v="Cust_214"/>
    <s v="Female"/>
    <x v="2"/>
    <x v="1"/>
    <x v="9"/>
    <n v="41"/>
    <n v="2499"/>
    <n v="102459"/>
    <x v="2"/>
    <x v="2"/>
  </r>
  <r>
    <d v="2024-02-04T00:00:00"/>
    <s v="INV6934"/>
    <s v="Cust_399"/>
    <s v="N/A"/>
    <x v="2"/>
    <x v="4"/>
    <x v="6"/>
    <n v="1"/>
    <n v="2999"/>
    <n v="2999"/>
    <x v="3"/>
    <x v="1"/>
  </r>
  <r>
    <d v="2024-08-24T00:00:00"/>
    <s v="INV6942"/>
    <s v="Cust_100"/>
    <s v="Male"/>
    <x v="1"/>
    <x v="1"/>
    <x v="18"/>
    <n v="5"/>
    <n v="1999"/>
    <n v="9995"/>
    <x v="2"/>
    <x v="2"/>
  </r>
  <r>
    <d v="2024-05-03T00:00:00"/>
    <s v="INV6947"/>
    <s v="Cust_125"/>
    <s v="Male"/>
    <x v="1"/>
    <x v="3"/>
    <x v="12"/>
    <n v="20"/>
    <n v="199"/>
    <n v="3980"/>
    <x v="3"/>
    <x v="1"/>
  </r>
  <r>
    <d v="2024-08-13T00:00:00"/>
    <s v="INV6967"/>
    <s v="Cust_303"/>
    <s v="N/A"/>
    <x v="1"/>
    <x v="2"/>
    <x v="7"/>
    <n v="45"/>
    <n v="1999"/>
    <n v="89955"/>
    <x v="0"/>
    <x v="2"/>
  </r>
  <r>
    <d v="2024-09-08T00:00:00"/>
    <s v="INV6974"/>
    <s v="Cust_362"/>
    <s v="Female"/>
    <x v="3"/>
    <x v="1"/>
    <x v="1"/>
    <n v="27"/>
    <n v="1999"/>
    <n v="53973"/>
    <x v="3"/>
    <x v="2"/>
  </r>
  <r>
    <d v="2024-05-26T00:00:00"/>
    <s v="INV6992"/>
    <s v="Cust_59"/>
    <s v="N/A"/>
    <x v="1"/>
    <x v="3"/>
    <x v="12"/>
    <n v="12"/>
    <n v="499"/>
    <n v="5988"/>
    <x v="0"/>
    <x v="0"/>
  </r>
  <r>
    <d v="2024-05-27T00:00:00"/>
    <s v="INV6994"/>
    <s v="Cust_1"/>
    <s v="Male"/>
    <x v="1"/>
    <x v="3"/>
    <x v="3"/>
    <n v="11"/>
    <n v="999"/>
    <n v="10989"/>
    <x v="0"/>
    <x v="4"/>
  </r>
  <r>
    <d v="2024-11-16T00:00:00"/>
    <s v="INV7018"/>
    <s v="Cust_397"/>
    <s v="Female"/>
    <x v="1"/>
    <x v="1"/>
    <x v="18"/>
    <n v="13"/>
    <n v="2999"/>
    <n v="38987"/>
    <x v="0"/>
    <x v="0"/>
  </r>
  <r>
    <d v="2024-05-30T00:00:00"/>
    <s v="INV7038"/>
    <s v="Cust_210"/>
    <s v="Male"/>
    <x v="3"/>
    <x v="0"/>
    <x v="0"/>
    <n v="8"/>
    <n v="1999"/>
    <n v="15992"/>
    <x v="0"/>
    <x v="0"/>
  </r>
  <r>
    <d v="2024-02-20T00:00:00"/>
    <s v="INV7043"/>
    <s v="Cust_379"/>
    <s v="Female"/>
    <x v="0"/>
    <x v="2"/>
    <x v="19"/>
    <n v="34"/>
    <n v="199"/>
    <n v="6766"/>
    <x v="0"/>
    <x v="3"/>
  </r>
  <r>
    <d v="2024-07-25T00:00:00"/>
    <s v="INV7046"/>
    <s v="Cust_301"/>
    <s v="Female"/>
    <x v="2"/>
    <x v="3"/>
    <x v="12"/>
    <n v="18"/>
    <n v="1999"/>
    <n v="35982"/>
    <x v="2"/>
    <x v="3"/>
  </r>
  <r>
    <d v="2024-07-23T00:00:00"/>
    <s v="INV7049"/>
    <s v="Cust_337"/>
    <s v="Female"/>
    <x v="2"/>
    <x v="3"/>
    <x v="3"/>
    <n v="48"/>
    <n v="999"/>
    <n v="47952"/>
    <x v="1"/>
    <x v="1"/>
  </r>
  <r>
    <d v="2024-09-30T00:00:00"/>
    <s v="INV7054"/>
    <s v="Cust_13"/>
    <s v="N/A"/>
    <x v="0"/>
    <x v="2"/>
    <x v="19"/>
    <n v="26"/>
    <n v="499"/>
    <n v="12974"/>
    <x v="1"/>
    <x v="1"/>
  </r>
  <r>
    <d v="2024-10-15T00:00:00"/>
    <s v="INV7065"/>
    <s v="Cust_88"/>
    <s v="Male"/>
    <x v="3"/>
    <x v="3"/>
    <x v="3"/>
    <n v="3"/>
    <n v="1499"/>
    <n v="4497"/>
    <x v="0"/>
    <x v="0"/>
  </r>
  <r>
    <d v="2024-07-21T00:00:00"/>
    <s v="INV7070"/>
    <s v="Cust_27"/>
    <s v="Female"/>
    <x v="3"/>
    <x v="0"/>
    <x v="0"/>
    <n v="20"/>
    <n v="1878"/>
    <n v="37560"/>
    <x v="0"/>
    <x v="1"/>
  </r>
  <r>
    <d v="2024-04-04T00:00:00"/>
    <s v="INV7078"/>
    <s v="Cust_339"/>
    <s v="Female"/>
    <x v="4"/>
    <x v="0"/>
    <x v="16"/>
    <n v="48"/>
    <n v="199"/>
    <n v="9552"/>
    <x v="0"/>
    <x v="0"/>
  </r>
  <r>
    <d v="2024-03-10T00:00:00"/>
    <s v="INV7086"/>
    <s v="Cust_174"/>
    <s v="Female"/>
    <x v="1"/>
    <x v="1"/>
    <x v="9"/>
    <n v="27"/>
    <n v="1499"/>
    <n v="40473"/>
    <x v="0"/>
    <x v="0"/>
  </r>
  <r>
    <d v="2024-08-14T00:00:00"/>
    <s v="INV7118"/>
    <s v="Cust_244"/>
    <s v="Female"/>
    <x v="2"/>
    <x v="1"/>
    <x v="1"/>
    <n v="2"/>
    <n v="1499"/>
    <n v="2998"/>
    <x v="1"/>
    <x v="3"/>
  </r>
  <r>
    <d v="2024-12-26T00:00:00"/>
    <s v="INV7126"/>
    <s v="Cust_128"/>
    <s v="Female"/>
    <x v="3"/>
    <x v="1"/>
    <x v="9"/>
    <n v="19"/>
    <n v="199"/>
    <n v="3781"/>
    <x v="3"/>
    <x v="0"/>
  </r>
  <r>
    <d v="2024-08-07T00:00:00"/>
    <s v="INV7141"/>
    <s v="Cust_142"/>
    <s v="Female"/>
    <x v="4"/>
    <x v="0"/>
    <x v="17"/>
    <n v="15"/>
    <n v="3499"/>
    <n v="52485"/>
    <x v="0"/>
    <x v="0"/>
  </r>
  <r>
    <d v="2024-01-20T00:00:00"/>
    <s v="INV7149"/>
    <s v="Cust_237"/>
    <s v="Male"/>
    <x v="3"/>
    <x v="1"/>
    <x v="9"/>
    <n v="10"/>
    <n v="1999"/>
    <n v="19990"/>
    <x v="2"/>
    <x v="1"/>
  </r>
  <r>
    <d v="2024-12-06T00:00:00"/>
    <s v="INV7180"/>
    <s v="Cust_63"/>
    <s v="N/A"/>
    <x v="3"/>
    <x v="3"/>
    <x v="3"/>
    <n v="4"/>
    <n v="2499"/>
    <n v="9996"/>
    <x v="2"/>
    <x v="3"/>
  </r>
  <r>
    <d v="2024-11-24T00:00:00"/>
    <s v="INV7201"/>
    <s v="Cust_262"/>
    <s v="Female"/>
    <x v="2"/>
    <x v="4"/>
    <x v="6"/>
    <n v="44"/>
    <n v="199"/>
    <n v="8756"/>
    <x v="2"/>
    <x v="2"/>
  </r>
  <r>
    <d v="2024-08-30T00:00:00"/>
    <s v="INV7216"/>
    <s v="Cust_125"/>
    <s v="N/A"/>
    <x v="3"/>
    <x v="2"/>
    <x v="2"/>
    <n v="16"/>
    <n v="199"/>
    <n v="3184"/>
    <x v="0"/>
    <x v="1"/>
  </r>
  <r>
    <d v="2024-04-04T00:00:00"/>
    <s v="INV7224"/>
    <s v="Cust_365"/>
    <s v="Male"/>
    <x v="2"/>
    <x v="1"/>
    <x v="10"/>
    <n v="29"/>
    <n v="2999"/>
    <n v="86971"/>
    <x v="0"/>
    <x v="0"/>
  </r>
  <r>
    <d v="2024-09-14T00:00:00"/>
    <s v="INV7226"/>
    <s v="Cust_354"/>
    <s v="Male"/>
    <x v="2"/>
    <x v="3"/>
    <x v="3"/>
    <n v="6"/>
    <n v="499"/>
    <n v="2994"/>
    <x v="0"/>
    <x v="4"/>
  </r>
  <r>
    <d v="2024-01-13T00:00:00"/>
    <s v="INV7227"/>
    <s v="Cust_59"/>
    <s v="N/A"/>
    <x v="2"/>
    <x v="4"/>
    <x v="13"/>
    <n v="5"/>
    <n v="199"/>
    <n v="995"/>
    <x v="0"/>
    <x v="0"/>
  </r>
  <r>
    <d v="2024-04-04T00:00:00"/>
    <s v="INV7242"/>
    <s v="Cust_171"/>
    <s v="Male"/>
    <x v="3"/>
    <x v="0"/>
    <x v="0"/>
    <n v="5"/>
    <n v="2499"/>
    <n v="12495"/>
    <x v="2"/>
    <x v="2"/>
  </r>
  <r>
    <d v="2024-05-18T00:00:00"/>
    <s v="INV7246"/>
    <s v="Cust_24"/>
    <s v="N/A"/>
    <x v="1"/>
    <x v="4"/>
    <x v="13"/>
    <n v="37"/>
    <n v="1499"/>
    <n v="55463"/>
    <x v="0"/>
    <x v="2"/>
  </r>
  <r>
    <d v="2024-06-22T00:00:00"/>
    <s v="INV7248"/>
    <s v="Cust_18"/>
    <s v="Female"/>
    <x v="2"/>
    <x v="2"/>
    <x v="2"/>
    <n v="15"/>
    <n v="1845"/>
    <n v="27675"/>
    <x v="1"/>
    <x v="0"/>
  </r>
  <r>
    <d v="2024-02-20T00:00:00"/>
    <s v="INV7252"/>
    <s v="Cust_14"/>
    <s v="Female"/>
    <x v="0"/>
    <x v="1"/>
    <x v="9"/>
    <n v="24"/>
    <n v="1838"/>
    <n v="44112"/>
    <x v="3"/>
    <x v="2"/>
  </r>
  <r>
    <d v="2024-05-24T00:00:00"/>
    <s v="INV7274"/>
    <s v="Cust_89"/>
    <s v="Female"/>
    <x v="3"/>
    <x v="0"/>
    <x v="0"/>
    <n v="11"/>
    <n v="1999"/>
    <n v="21989"/>
    <x v="1"/>
    <x v="2"/>
  </r>
  <r>
    <d v="2024-03-15T00:00:00"/>
    <s v="INV7275"/>
    <s v="Cust_389"/>
    <s v="Male"/>
    <x v="1"/>
    <x v="4"/>
    <x v="6"/>
    <n v="36"/>
    <n v="1749"/>
    <n v="62964"/>
    <x v="0"/>
    <x v="1"/>
  </r>
  <r>
    <d v="2024-08-22T00:00:00"/>
    <s v="INV7284"/>
    <s v="Cust_354"/>
    <s v="N/A"/>
    <x v="3"/>
    <x v="2"/>
    <x v="19"/>
    <n v="2"/>
    <n v="2499"/>
    <n v="4998"/>
    <x v="3"/>
    <x v="2"/>
  </r>
  <r>
    <d v="2024-10-30T00:00:00"/>
    <s v="INV7291"/>
    <s v="Cust_320"/>
    <s v="N/A"/>
    <x v="2"/>
    <x v="3"/>
    <x v="12"/>
    <n v="19"/>
    <n v="499"/>
    <n v="9481"/>
    <x v="1"/>
    <x v="1"/>
  </r>
  <r>
    <d v="2024-01-22T00:00:00"/>
    <s v="INV7302"/>
    <s v="Cust_108"/>
    <s v="Male"/>
    <x v="3"/>
    <x v="4"/>
    <x v="14"/>
    <n v="29"/>
    <n v="1749"/>
    <n v="50721"/>
    <x v="1"/>
    <x v="0"/>
  </r>
  <r>
    <d v="2024-10-29T00:00:00"/>
    <s v="INV7304"/>
    <s v="Cust_227"/>
    <s v="N/A"/>
    <x v="2"/>
    <x v="3"/>
    <x v="15"/>
    <n v="20"/>
    <n v="1999"/>
    <n v="39980"/>
    <x v="0"/>
    <x v="0"/>
  </r>
  <r>
    <d v="2024-03-29T00:00:00"/>
    <s v="INV7325"/>
    <s v="Cust_274"/>
    <s v="Female"/>
    <x v="1"/>
    <x v="3"/>
    <x v="5"/>
    <n v="44"/>
    <n v="999"/>
    <n v="43956"/>
    <x v="1"/>
    <x v="0"/>
  </r>
  <r>
    <d v="2024-07-08T00:00:00"/>
    <s v="INV7371"/>
    <s v="Cust_114"/>
    <s v="Female"/>
    <x v="1"/>
    <x v="0"/>
    <x v="8"/>
    <n v="25"/>
    <n v="199"/>
    <n v="4975"/>
    <x v="0"/>
    <x v="1"/>
  </r>
  <r>
    <d v="2024-04-16T00:00:00"/>
    <s v="INV7381"/>
    <s v="Cust_19"/>
    <s v="Female"/>
    <x v="3"/>
    <x v="2"/>
    <x v="7"/>
    <n v="9"/>
    <n v="999"/>
    <n v="8991"/>
    <x v="0"/>
    <x v="4"/>
  </r>
  <r>
    <d v="2024-07-02T00:00:00"/>
    <s v="INV7389"/>
    <s v="Cust_79"/>
    <s v="N/A"/>
    <x v="3"/>
    <x v="4"/>
    <x v="6"/>
    <n v="5"/>
    <n v="3499"/>
    <n v="17495"/>
    <x v="0"/>
    <x v="1"/>
  </r>
  <r>
    <d v="2024-05-21T00:00:00"/>
    <s v="INV7396"/>
    <s v="Cust_287"/>
    <s v="Female"/>
    <x v="3"/>
    <x v="1"/>
    <x v="9"/>
    <n v="2"/>
    <n v="999"/>
    <n v="1998"/>
    <x v="3"/>
    <x v="0"/>
  </r>
  <r>
    <d v="2024-06-27T00:00:00"/>
    <s v="INV7455"/>
    <s v="Cust_292"/>
    <s v="N/A"/>
    <x v="2"/>
    <x v="3"/>
    <x v="5"/>
    <n v="33"/>
    <n v="2999"/>
    <n v="98967"/>
    <x v="0"/>
    <x v="3"/>
  </r>
  <r>
    <d v="2024-02-10T00:00:00"/>
    <s v="INV7464"/>
    <s v="Cust_287"/>
    <s v="N/A"/>
    <x v="3"/>
    <x v="0"/>
    <x v="16"/>
    <n v="4"/>
    <n v="3499"/>
    <n v="13996"/>
    <x v="0"/>
    <x v="3"/>
  </r>
  <r>
    <d v="2024-11-01T00:00:00"/>
    <s v="INV7482"/>
    <s v="Cust_183"/>
    <s v="Male"/>
    <x v="1"/>
    <x v="2"/>
    <x v="19"/>
    <n v="7"/>
    <n v="199"/>
    <n v="1393"/>
    <x v="0"/>
    <x v="0"/>
  </r>
  <r>
    <d v="2024-05-29T00:00:00"/>
    <s v="INV7498"/>
    <s v="Cust_207"/>
    <s v="N/A"/>
    <x v="3"/>
    <x v="3"/>
    <x v="5"/>
    <n v="16"/>
    <n v="999"/>
    <n v="15984"/>
    <x v="1"/>
    <x v="3"/>
  </r>
  <r>
    <d v="2024-02-04T00:00:00"/>
    <s v="INV7511"/>
    <s v="Cust_96"/>
    <s v="N/A"/>
    <x v="0"/>
    <x v="4"/>
    <x v="6"/>
    <n v="16"/>
    <n v="199"/>
    <n v="3184"/>
    <x v="0"/>
    <x v="2"/>
  </r>
  <r>
    <d v="2024-04-21T00:00:00"/>
    <s v="INV7512"/>
    <s v="Cust_157"/>
    <s v="Female"/>
    <x v="1"/>
    <x v="1"/>
    <x v="1"/>
    <n v="18"/>
    <n v="499"/>
    <n v="8982"/>
    <x v="1"/>
    <x v="2"/>
  </r>
  <r>
    <d v="2024-11-13T00:00:00"/>
    <s v="INV7523"/>
    <s v="Cust_27"/>
    <s v="Female"/>
    <x v="3"/>
    <x v="3"/>
    <x v="12"/>
    <n v="37"/>
    <n v="2999"/>
    <n v="110963"/>
    <x v="0"/>
    <x v="1"/>
  </r>
  <r>
    <d v="2024-03-07T00:00:00"/>
    <s v="INV7528"/>
    <s v="Cust_242"/>
    <s v="N/A"/>
    <x v="1"/>
    <x v="0"/>
    <x v="16"/>
    <n v="5"/>
    <n v="1878"/>
    <n v="9390"/>
    <x v="0"/>
    <x v="2"/>
  </r>
  <r>
    <d v="2024-05-01T00:00:00"/>
    <s v="INV7537"/>
    <s v="Cust_218"/>
    <s v="Male"/>
    <x v="3"/>
    <x v="1"/>
    <x v="10"/>
    <n v="28"/>
    <n v="199"/>
    <n v="5572"/>
    <x v="0"/>
    <x v="2"/>
  </r>
  <r>
    <d v="2024-04-24T00:00:00"/>
    <s v="INV7543"/>
    <s v="Cust_73"/>
    <s v="Male"/>
    <x v="1"/>
    <x v="4"/>
    <x v="14"/>
    <n v="13"/>
    <n v="3499"/>
    <n v="45487"/>
    <x v="1"/>
    <x v="0"/>
  </r>
  <r>
    <d v="2024-04-18T00:00:00"/>
    <s v="INV7547"/>
    <s v="Cust_344"/>
    <s v="Female"/>
    <x v="1"/>
    <x v="4"/>
    <x v="11"/>
    <n v="1"/>
    <n v="1999"/>
    <n v="1999"/>
    <x v="0"/>
    <x v="3"/>
  </r>
  <r>
    <d v="2024-10-12T00:00:00"/>
    <s v="INV7548"/>
    <s v="Cust_337"/>
    <s v="Female"/>
    <x v="3"/>
    <x v="3"/>
    <x v="3"/>
    <n v="13"/>
    <n v="499"/>
    <n v="6487"/>
    <x v="0"/>
    <x v="3"/>
  </r>
  <r>
    <d v="2024-12-13T00:00:00"/>
    <s v="INV7561"/>
    <s v="Cust_379"/>
    <s v="Female"/>
    <x v="1"/>
    <x v="0"/>
    <x v="0"/>
    <n v="41"/>
    <n v="3499"/>
    <n v="143459"/>
    <x v="0"/>
    <x v="0"/>
  </r>
  <r>
    <d v="2024-08-10T00:00:00"/>
    <s v="INV7565"/>
    <s v="Cust_207"/>
    <s v="Male"/>
    <x v="2"/>
    <x v="3"/>
    <x v="5"/>
    <n v="44"/>
    <n v="3499"/>
    <n v="153956"/>
    <x v="0"/>
    <x v="2"/>
  </r>
  <r>
    <d v="2024-01-23T00:00:00"/>
    <s v="INV7570"/>
    <s v="Cust_365"/>
    <s v="N/A"/>
    <x v="0"/>
    <x v="4"/>
    <x v="6"/>
    <n v="41"/>
    <n v="1749"/>
    <n v="71709"/>
    <x v="1"/>
    <x v="1"/>
  </r>
  <r>
    <d v="2024-08-18T00:00:00"/>
    <s v="INV7572"/>
    <s v="Cust_175"/>
    <s v="Male"/>
    <x v="4"/>
    <x v="4"/>
    <x v="6"/>
    <n v="10"/>
    <n v="1749"/>
    <n v="17490"/>
    <x v="1"/>
    <x v="1"/>
  </r>
  <r>
    <d v="2024-03-09T00:00:00"/>
    <s v="INV7592"/>
    <s v="Cust_164"/>
    <s v="Male"/>
    <x v="3"/>
    <x v="4"/>
    <x v="11"/>
    <n v="49"/>
    <n v="499"/>
    <n v="24451"/>
    <x v="0"/>
    <x v="1"/>
  </r>
  <r>
    <d v="2024-10-05T00:00:00"/>
    <s v="INV7594"/>
    <s v="Cust_119"/>
    <s v="Male"/>
    <x v="1"/>
    <x v="2"/>
    <x v="19"/>
    <n v="3"/>
    <n v="3499"/>
    <n v="10497"/>
    <x v="0"/>
    <x v="2"/>
  </r>
  <r>
    <d v="2024-03-28T00:00:00"/>
    <s v="INV7596"/>
    <s v="Cust_173"/>
    <s v="Male"/>
    <x v="0"/>
    <x v="2"/>
    <x v="19"/>
    <n v="12"/>
    <n v="999"/>
    <n v="11988"/>
    <x v="0"/>
    <x v="2"/>
  </r>
  <r>
    <d v="2024-07-26T00:00:00"/>
    <s v="INV7615"/>
    <s v="Cust_115"/>
    <s v="Female"/>
    <x v="3"/>
    <x v="2"/>
    <x v="19"/>
    <n v="33"/>
    <n v="2499"/>
    <n v="82467"/>
    <x v="0"/>
    <x v="1"/>
  </r>
  <r>
    <d v="2024-06-28T00:00:00"/>
    <s v="INV7622"/>
    <s v="Cust_257"/>
    <s v="Male"/>
    <x v="3"/>
    <x v="4"/>
    <x v="14"/>
    <n v="0"/>
    <n v="3499"/>
    <n v="0"/>
    <x v="1"/>
    <x v="1"/>
  </r>
  <r>
    <d v="2024-02-04T00:00:00"/>
    <s v="INV7624"/>
    <s v="Cust_251"/>
    <s v="Male"/>
    <x v="3"/>
    <x v="4"/>
    <x v="14"/>
    <n v="4"/>
    <n v="1999"/>
    <n v="7996"/>
    <x v="0"/>
    <x v="2"/>
  </r>
  <r>
    <d v="2024-09-15T00:00:00"/>
    <s v="INV7625"/>
    <s v="Cust_17"/>
    <s v="N/A"/>
    <x v="3"/>
    <x v="4"/>
    <x v="13"/>
    <n v="0"/>
    <n v="199"/>
    <n v="0"/>
    <x v="2"/>
    <x v="3"/>
  </r>
  <r>
    <d v="2024-10-24T00:00:00"/>
    <s v="INV7653"/>
    <s v="Cust_86"/>
    <s v="N/A"/>
    <x v="3"/>
    <x v="4"/>
    <x v="11"/>
    <n v="18"/>
    <n v="999"/>
    <n v="17982"/>
    <x v="0"/>
    <x v="1"/>
  </r>
  <r>
    <d v="2024-04-27T00:00:00"/>
    <s v="INV7669"/>
    <s v="Cust_63"/>
    <s v="Male"/>
    <x v="3"/>
    <x v="1"/>
    <x v="18"/>
    <n v="3"/>
    <n v="1838"/>
    <n v="5514"/>
    <x v="0"/>
    <x v="1"/>
  </r>
  <r>
    <d v="2024-01-25T00:00:00"/>
    <s v="INV7678"/>
    <s v="Cust_84"/>
    <s v="Male"/>
    <x v="2"/>
    <x v="4"/>
    <x v="11"/>
    <n v="27"/>
    <n v="1499"/>
    <n v="40473"/>
    <x v="0"/>
    <x v="1"/>
  </r>
  <r>
    <d v="2024-11-12T00:00:00"/>
    <s v="INV7684"/>
    <s v="Cust_222"/>
    <s v="Male"/>
    <x v="1"/>
    <x v="3"/>
    <x v="15"/>
    <n v="15"/>
    <n v="499"/>
    <n v="7485"/>
    <x v="0"/>
    <x v="0"/>
  </r>
  <r>
    <d v="2024-12-17T00:00:00"/>
    <s v="INV7686"/>
    <s v="Cust_394"/>
    <s v="Male"/>
    <x v="3"/>
    <x v="0"/>
    <x v="16"/>
    <n v="49"/>
    <n v="1878"/>
    <n v="92022"/>
    <x v="2"/>
    <x v="2"/>
  </r>
  <r>
    <d v="2024-06-03T00:00:00"/>
    <s v="INV7689"/>
    <s v="Cust_222"/>
    <s v="Female"/>
    <x v="2"/>
    <x v="2"/>
    <x v="4"/>
    <n v="10"/>
    <n v="1845"/>
    <n v="18450"/>
    <x v="0"/>
    <x v="1"/>
  </r>
  <r>
    <d v="2024-10-29T00:00:00"/>
    <s v="INV7690"/>
    <s v="Cust_225"/>
    <s v="Female"/>
    <x v="2"/>
    <x v="4"/>
    <x v="14"/>
    <n v="5"/>
    <n v="3499"/>
    <n v="17495"/>
    <x v="2"/>
    <x v="2"/>
  </r>
  <r>
    <d v="2024-10-15T00:00:00"/>
    <s v="INV7691"/>
    <s v="Cust_210"/>
    <s v="Male"/>
    <x v="3"/>
    <x v="1"/>
    <x v="10"/>
    <n v="7"/>
    <n v="1999"/>
    <n v="13993"/>
    <x v="0"/>
    <x v="1"/>
  </r>
  <r>
    <d v="2024-02-06T00:00:00"/>
    <s v="INV7693"/>
    <s v="Cust_204"/>
    <s v="Female"/>
    <x v="1"/>
    <x v="0"/>
    <x v="17"/>
    <n v="5"/>
    <n v="2999"/>
    <n v="14995"/>
    <x v="0"/>
    <x v="0"/>
  </r>
  <r>
    <d v="2024-09-24T00:00:00"/>
    <s v="INV7717"/>
    <s v="Cust_261"/>
    <s v="N/A"/>
    <x v="2"/>
    <x v="1"/>
    <x v="1"/>
    <n v="18"/>
    <n v="1999"/>
    <n v="35982"/>
    <x v="0"/>
    <x v="0"/>
  </r>
  <r>
    <d v="2024-08-28T00:00:00"/>
    <s v="INV7730"/>
    <s v="Cust_73"/>
    <s v="Male"/>
    <x v="0"/>
    <x v="3"/>
    <x v="3"/>
    <n v="6"/>
    <n v="1999"/>
    <n v="11994"/>
    <x v="3"/>
    <x v="2"/>
  </r>
  <r>
    <d v="2024-06-28T00:00:00"/>
    <s v="INV7735"/>
    <s v="Cust_227"/>
    <s v="Male"/>
    <x v="1"/>
    <x v="3"/>
    <x v="12"/>
    <n v="43"/>
    <n v="2499"/>
    <n v="107457"/>
    <x v="1"/>
    <x v="1"/>
  </r>
  <r>
    <d v="2024-08-18T00:00:00"/>
    <s v="INV7744"/>
    <s v="Cust_217"/>
    <s v="Male"/>
    <x v="1"/>
    <x v="1"/>
    <x v="10"/>
    <n v="4"/>
    <n v="2999"/>
    <n v="11996"/>
    <x v="3"/>
    <x v="2"/>
  </r>
  <r>
    <d v="2024-05-22T00:00:00"/>
    <s v="INV7745"/>
    <s v="Cust_15"/>
    <s v="Female"/>
    <x v="3"/>
    <x v="4"/>
    <x v="13"/>
    <n v="9"/>
    <n v="199"/>
    <n v="1791"/>
    <x v="1"/>
    <x v="1"/>
  </r>
  <r>
    <d v="2024-04-10T00:00:00"/>
    <s v="INV7751"/>
    <s v="Cust_364"/>
    <s v="Male"/>
    <x v="3"/>
    <x v="2"/>
    <x v="2"/>
    <n v="21"/>
    <n v="1999"/>
    <n v="41979"/>
    <x v="1"/>
    <x v="1"/>
  </r>
  <r>
    <d v="2024-11-02T00:00:00"/>
    <s v="INV7755"/>
    <s v="Cust_285"/>
    <s v="Male"/>
    <x v="2"/>
    <x v="2"/>
    <x v="4"/>
    <n v="48"/>
    <n v="499"/>
    <n v="23952"/>
    <x v="2"/>
    <x v="2"/>
  </r>
  <r>
    <d v="2024-02-16T00:00:00"/>
    <s v="INV7770"/>
    <s v="Cust_227"/>
    <s v="Female"/>
    <x v="3"/>
    <x v="0"/>
    <x v="17"/>
    <n v="16"/>
    <n v="1878"/>
    <n v="30048"/>
    <x v="0"/>
    <x v="0"/>
  </r>
  <r>
    <d v="2024-08-25T00:00:00"/>
    <s v="INV7790"/>
    <s v="Cust_177"/>
    <s v="Female"/>
    <x v="2"/>
    <x v="3"/>
    <x v="3"/>
    <n v="5"/>
    <n v="1624"/>
    <n v="8120"/>
    <x v="0"/>
    <x v="2"/>
  </r>
  <r>
    <d v="2024-08-20T00:00:00"/>
    <s v="INV7798"/>
    <s v="Cust_55"/>
    <s v="N/A"/>
    <x v="3"/>
    <x v="0"/>
    <x v="0"/>
    <n v="18"/>
    <n v="2999"/>
    <n v="53982"/>
    <x v="0"/>
    <x v="2"/>
  </r>
  <r>
    <d v="2024-08-15T00:00:00"/>
    <s v="INV7812"/>
    <s v="Cust_117"/>
    <s v="N/A"/>
    <x v="3"/>
    <x v="1"/>
    <x v="1"/>
    <n v="33"/>
    <n v="1838"/>
    <n v="60654"/>
    <x v="0"/>
    <x v="1"/>
  </r>
  <r>
    <d v="2024-03-09T00:00:00"/>
    <s v="INV7818"/>
    <s v="Cust_344"/>
    <s v="Female"/>
    <x v="3"/>
    <x v="0"/>
    <x v="0"/>
    <n v="13"/>
    <n v="1999"/>
    <n v="25987"/>
    <x v="3"/>
    <x v="0"/>
  </r>
  <r>
    <d v="2024-12-13T00:00:00"/>
    <s v="INV7865"/>
    <s v="Cust_161"/>
    <s v="Female"/>
    <x v="2"/>
    <x v="4"/>
    <x v="6"/>
    <n v="16"/>
    <n v="1499"/>
    <n v="23984"/>
    <x v="0"/>
    <x v="2"/>
  </r>
  <r>
    <d v="2024-02-13T00:00:00"/>
    <s v="INV7866"/>
    <s v="Cust_97"/>
    <s v="N/A"/>
    <x v="3"/>
    <x v="4"/>
    <x v="6"/>
    <n v="37"/>
    <n v="3499"/>
    <n v="129463"/>
    <x v="1"/>
    <x v="2"/>
  </r>
  <r>
    <d v="2024-05-04T00:00:00"/>
    <s v="INV7868"/>
    <s v="Cust_239"/>
    <s v="Male"/>
    <x v="4"/>
    <x v="4"/>
    <x v="14"/>
    <n v="43"/>
    <n v="1499"/>
    <n v="64457"/>
    <x v="3"/>
    <x v="0"/>
  </r>
  <r>
    <d v="2024-08-16T00:00:00"/>
    <s v="INV7873"/>
    <s v="Cust_141"/>
    <s v="N/A"/>
    <x v="0"/>
    <x v="3"/>
    <x v="15"/>
    <n v="25"/>
    <n v="499"/>
    <n v="12475"/>
    <x v="0"/>
    <x v="4"/>
  </r>
  <r>
    <d v="2024-09-08T00:00:00"/>
    <s v="INV7882"/>
    <s v="Cust_175"/>
    <s v="N/A"/>
    <x v="1"/>
    <x v="4"/>
    <x v="6"/>
    <n v="37"/>
    <n v="1999"/>
    <n v="73963"/>
    <x v="2"/>
    <x v="0"/>
  </r>
  <r>
    <d v="2024-04-20T00:00:00"/>
    <s v="INV7883"/>
    <s v="Cust_14"/>
    <s v="N/A"/>
    <x v="4"/>
    <x v="2"/>
    <x v="4"/>
    <n v="46"/>
    <n v="1845"/>
    <n v="84870"/>
    <x v="3"/>
    <x v="2"/>
  </r>
  <r>
    <d v="2024-11-12T00:00:00"/>
    <s v="INV7888"/>
    <s v="Cust_82"/>
    <s v="Male"/>
    <x v="0"/>
    <x v="3"/>
    <x v="12"/>
    <n v="38"/>
    <n v="3499"/>
    <n v="132962"/>
    <x v="1"/>
    <x v="0"/>
  </r>
  <r>
    <d v="2024-07-15T00:00:00"/>
    <s v="INV7906"/>
    <s v="Cust_283"/>
    <s v="Female"/>
    <x v="0"/>
    <x v="4"/>
    <x v="6"/>
    <n v="4"/>
    <n v="2999"/>
    <n v="11996"/>
    <x v="0"/>
    <x v="0"/>
  </r>
  <r>
    <d v="2024-12-29T00:00:00"/>
    <s v="INV7916"/>
    <s v="Cust_359"/>
    <s v="Male"/>
    <x v="4"/>
    <x v="0"/>
    <x v="17"/>
    <n v="4"/>
    <n v="1499"/>
    <n v="5996"/>
    <x v="0"/>
    <x v="0"/>
  </r>
  <r>
    <d v="2024-09-08T00:00:00"/>
    <s v="INV7924"/>
    <s v="Cust_356"/>
    <s v="Female"/>
    <x v="1"/>
    <x v="0"/>
    <x v="16"/>
    <n v="43"/>
    <n v="3499"/>
    <n v="150457"/>
    <x v="1"/>
    <x v="2"/>
  </r>
  <r>
    <d v="2024-09-13T00:00:00"/>
    <s v="INV7930"/>
    <s v="Cust_193"/>
    <s v="Female"/>
    <x v="1"/>
    <x v="4"/>
    <x v="13"/>
    <n v="32"/>
    <n v="499"/>
    <n v="15968"/>
    <x v="0"/>
    <x v="1"/>
  </r>
  <r>
    <d v="2024-08-14T00:00:00"/>
    <s v="INV7932"/>
    <s v="Cust_46"/>
    <s v="N/A"/>
    <x v="1"/>
    <x v="0"/>
    <x v="0"/>
    <n v="7"/>
    <n v="1499"/>
    <n v="10493"/>
    <x v="3"/>
    <x v="2"/>
  </r>
  <r>
    <d v="2024-10-09T00:00:00"/>
    <s v="INV7951"/>
    <s v="Cust_188"/>
    <s v="Female"/>
    <x v="1"/>
    <x v="4"/>
    <x v="6"/>
    <n v="45"/>
    <n v="999"/>
    <n v="44955"/>
    <x v="0"/>
    <x v="0"/>
  </r>
  <r>
    <d v="2024-12-01T00:00:00"/>
    <s v="INV7965"/>
    <s v="Cust_81"/>
    <s v="Male"/>
    <x v="3"/>
    <x v="3"/>
    <x v="12"/>
    <n v="17"/>
    <n v="1999"/>
    <n v="33983"/>
    <x v="0"/>
    <x v="3"/>
  </r>
  <r>
    <d v="2024-11-16T00:00:00"/>
    <s v="INV7971"/>
    <s v="Cust_206"/>
    <s v="Male"/>
    <x v="4"/>
    <x v="4"/>
    <x v="13"/>
    <n v="45"/>
    <n v="499"/>
    <n v="22455"/>
    <x v="1"/>
    <x v="1"/>
  </r>
  <r>
    <d v="2024-09-21T00:00:00"/>
    <s v="INV8007"/>
    <s v="Cust_324"/>
    <s v="Female"/>
    <x v="1"/>
    <x v="3"/>
    <x v="5"/>
    <n v="48"/>
    <n v="2499"/>
    <n v="119952"/>
    <x v="2"/>
    <x v="4"/>
  </r>
  <r>
    <d v="2024-09-02T00:00:00"/>
    <s v="INV8018"/>
    <s v="Cust_341"/>
    <s v="Female"/>
    <x v="3"/>
    <x v="2"/>
    <x v="2"/>
    <n v="24"/>
    <n v="1845"/>
    <n v="44280"/>
    <x v="0"/>
    <x v="0"/>
  </r>
  <r>
    <d v="2024-03-20T00:00:00"/>
    <s v="INV8019"/>
    <s v="Cust_146"/>
    <s v="Female"/>
    <x v="3"/>
    <x v="3"/>
    <x v="15"/>
    <n v="44"/>
    <n v="199"/>
    <n v="8756"/>
    <x v="1"/>
    <x v="4"/>
  </r>
  <r>
    <d v="2024-09-23T00:00:00"/>
    <s v="INV8022"/>
    <s v="Cust_39"/>
    <s v="N/A"/>
    <x v="3"/>
    <x v="3"/>
    <x v="5"/>
    <n v="34"/>
    <n v="1499"/>
    <n v="50966"/>
    <x v="3"/>
    <x v="1"/>
  </r>
  <r>
    <d v="2024-08-09T00:00:00"/>
    <s v="INV8041"/>
    <s v="Cust_152"/>
    <s v="Female"/>
    <x v="3"/>
    <x v="3"/>
    <x v="15"/>
    <n v="13"/>
    <n v="1499"/>
    <n v="19487"/>
    <x v="0"/>
    <x v="0"/>
  </r>
  <r>
    <d v="2024-05-13T00:00:00"/>
    <s v="INV8056"/>
    <s v="Cust_177"/>
    <s v="Female"/>
    <x v="2"/>
    <x v="4"/>
    <x v="11"/>
    <n v="4"/>
    <n v="1749"/>
    <n v="6996"/>
    <x v="2"/>
    <x v="1"/>
  </r>
  <r>
    <d v="2024-07-13T00:00:00"/>
    <s v="INV8062"/>
    <s v="Cust_92"/>
    <s v="Male"/>
    <x v="3"/>
    <x v="1"/>
    <x v="18"/>
    <n v="41"/>
    <n v="2999"/>
    <n v="122959"/>
    <x v="0"/>
    <x v="2"/>
  </r>
  <r>
    <d v="2024-02-29T00:00:00"/>
    <s v="INV8066"/>
    <s v="Cust_318"/>
    <s v="N/A"/>
    <x v="1"/>
    <x v="1"/>
    <x v="18"/>
    <n v="46"/>
    <n v="2999"/>
    <n v="137954"/>
    <x v="2"/>
    <x v="4"/>
  </r>
  <r>
    <d v="2024-06-18T00:00:00"/>
    <s v="INV8078"/>
    <s v="Cust_188"/>
    <s v="N/A"/>
    <x v="3"/>
    <x v="3"/>
    <x v="5"/>
    <n v="9"/>
    <n v="1499"/>
    <n v="13491"/>
    <x v="0"/>
    <x v="0"/>
  </r>
  <r>
    <d v="2024-09-21T00:00:00"/>
    <s v="INV8102"/>
    <s v="Cust_288"/>
    <s v="Female"/>
    <x v="1"/>
    <x v="1"/>
    <x v="18"/>
    <n v="25"/>
    <n v="999"/>
    <n v="24975"/>
    <x v="1"/>
    <x v="1"/>
  </r>
  <r>
    <d v="2024-07-08T00:00:00"/>
    <s v="INV8110"/>
    <s v="Cust_11"/>
    <s v="Male"/>
    <x v="3"/>
    <x v="0"/>
    <x v="16"/>
    <n v="25"/>
    <n v="999"/>
    <n v="24975"/>
    <x v="0"/>
    <x v="2"/>
  </r>
  <r>
    <d v="2024-06-18T00:00:00"/>
    <s v="INV8119"/>
    <s v="Cust_370"/>
    <s v="N/A"/>
    <x v="1"/>
    <x v="2"/>
    <x v="2"/>
    <n v="31"/>
    <n v="3499"/>
    <n v="108469"/>
    <x v="1"/>
    <x v="2"/>
  </r>
  <r>
    <d v="2024-01-19T00:00:00"/>
    <s v="INV8123"/>
    <s v="Cust_67"/>
    <s v="Female"/>
    <x v="1"/>
    <x v="1"/>
    <x v="1"/>
    <n v="20"/>
    <n v="499"/>
    <n v="9980"/>
    <x v="0"/>
    <x v="2"/>
  </r>
  <r>
    <d v="2024-04-30T00:00:00"/>
    <s v="INV8136"/>
    <s v="Cust_64"/>
    <s v="Female"/>
    <x v="2"/>
    <x v="4"/>
    <x v="6"/>
    <n v="26"/>
    <n v="1999"/>
    <n v="51974"/>
    <x v="0"/>
    <x v="1"/>
  </r>
  <r>
    <d v="2024-02-21T00:00:00"/>
    <s v="INV8140"/>
    <s v="Cust_379"/>
    <s v="Male"/>
    <x v="2"/>
    <x v="0"/>
    <x v="17"/>
    <n v="22"/>
    <n v="999"/>
    <n v="21978"/>
    <x v="2"/>
    <x v="2"/>
  </r>
  <r>
    <d v="2024-11-06T00:00:00"/>
    <s v="INV8141"/>
    <s v="Cust_329"/>
    <s v="Female"/>
    <x v="3"/>
    <x v="2"/>
    <x v="19"/>
    <n v="9"/>
    <n v="3499"/>
    <n v="31491"/>
    <x v="0"/>
    <x v="0"/>
  </r>
  <r>
    <d v="2024-05-16T00:00:00"/>
    <s v="INV8144"/>
    <s v="Cust_309"/>
    <s v="Female"/>
    <x v="1"/>
    <x v="3"/>
    <x v="5"/>
    <n v="10"/>
    <n v="499"/>
    <n v="4990"/>
    <x v="0"/>
    <x v="3"/>
  </r>
  <r>
    <d v="2024-11-18T00:00:00"/>
    <s v="INV8149"/>
    <s v="Cust_46"/>
    <s v="Male"/>
    <x v="3"/>
    <x v="4"/>
    <x v="14"/>
    <n v="35"/>
    <n v="499"/>
    <n v="17465"/>
    <x v="1"/>
    <x v="1"/>
  </r>
  <r>
    <d v="2024-10-04T00:00:00"/>
    <s v="INV8172"/>
    <s v="Cust_334"/>
    <s v="Male"/>
    <x v="3"/>
    <x v="3"/>
    <x v="3"/>
    <n v="49"/>
    <n v="2999"/>
    <n v="146951"/>
    <x v="3"/>
    <x v="1"/>
  </r>
  <r>
    <d v="2024-06-15T00:00:00"/>
    <s v="INV8177"/>
    <s v="Cust_14"/>
    <s v="Male"/>
    <x v="3"/>
    <x v="4"/>
    <x v="6"/>
    <n v="35"/>
    <n v="2999"/>
    <n v="104965"/>
    <x v="0"/>
    <x v="0"/>
  </r>
  <r>
    <d v="2024-02-08T00:00:00"/>
    <s v="INV8178"/>
    <s v="Cust_90"/>
    <s v="Female"/>
    <x v="1"/>
    <x v="0"/>
    <x v="16"/>
    <n v="28"/>
    <n v="199"/>
    <n v="5572"/>
    <x v="1"/>
    <x v="2"/>
  </r>
  <r>
    <d v="2024-08-12T00:00:00"/>
    <s v="INV8179"/>
    <s v="Cust_224"/>
    <s v="N/A"/>
    <x v="1"/>
    <x v="1"/>
    <x v="18"/>
    <n v="46"/>
    <n v="499"/>
    <n v="22954"/>
    <x v="1"/>
    <x v="2"/>
  </r>
  <r>
    <d v="2024-02-03T00:00:00"/>
    <s v="INV8195"/>
    <s v="Cust_299"/>
    <s v="Female"/>
    <x v="1"/>
    <x v="1"/>
    <x v="9"/>
    <n v="27"/>
    <n v="1838"/>
    <n v="49626"/>
    <x v="0"/>
    <x v="1"/>
  </r>
  <r>
    <d v="2024-12-30T00:00:00"/>
    <s v="INV8206"/>
    <s v="Cust_269"/>
    <s v="Female"/>
    <x v="2"/>
    <x v="3"/>
    <x v="12"/>
    <n v="4"/>
    <n v="1499"/>
    <n v="5996"/>
    <x v="2"/>
    <x v="2"/>
  </r>
  <r>
    <d v="2024-07-19T00:00:00"/>
    <s v="INV8213"/>
    <s v="Cust_356"/>
    <s v="Female"/>
    <x v="0"/>
    <x v="2"/>
    <x v="7"/>
    <n v="27"/>
    <n v="3499"/>
    <n v="94473"/>
    <x v="2"/>
    <x v="2"/>
  </r>
  <r>
    <d v="2024-05-23T00:00:00"/>
    <s v="INV8216"/>
    <s v="Cust_359"/>
    <s v="Male"/>
    <x v="0"/>
    <x v="3"/>
    <x v="3"/>
    <n v="49"/>
    <n v="199"/>
    <n v="9751"/>
    <x v="3"/>
    <x v="2"/>
  </r>
  <r>
    <d v="2024-07-13T00:00:00"/>
    <s v="INV8222"/>
    <s v="Cust_8"/>
    <s v="N/A"/>
    <x v="2"/>
    <x v="0"/>
    <x v="0"/>
    <n v="3"/>
    <n v="1999"/>
    <n v="5997"/>
    <x v="2"/>
    <x v="2"/>
  </r>
  <r>
    <d v="2024-03-07T00:00:00"/>
    <s v="INV8237"/>
    <s v="Cust_215"/>
    <s v="N/A"/>
    <x v="4"/>
    <x v="0"/>
    <x v="8"/>
    <n v="47"/>
    <n v="1999"/>
    <n v="93953"/>
    <x v="0"/>
    <x v="4"/>
  </r>
  <r>
    <d v="2024-03-16T00:00:00"/>
    <s v="INV8238"/>
    <s v="Cust_288"/>
    <s v="N/A"/>
    <x v="2"/>
    <x v="2"/>
    <x v="7"/>
    <n v="38"/>
    <n v="3499"/>
    <n v="132962"/>
    <x v="2"/>
    <x v="0"/>
  </r>
  <r>
    <d v="2024-11-19T00:00:00"/>
    <s v="INV8242"/>
    <s v="Cust_274"/>
    <s v="Male"/>
    <x v="3"/>
    <x v="1"/>
    <x v="10"/>
    <n v="44"/>
    <n v="2999"/>
    <n v="131956"/>
    <x v="0"/>
    <x v="1"/>
  </r>
  <r>
    <d v="2024-04-01T00:00:00"/>
    <s v="INV8244"/>
    <s v="Cust_166"/>
    <s v="N/A"/>
    <x v="0"/>
    <x v="4"/>
    <x v="13"/>
    <n v="5"/>
    <n v="999"/>
    <n v="4995"/>
    <x v="0"/>
    <x v="1"/>
  </r>
  <r>
    <d v="2024-07-10T00:00:00"/>
    <s v="INV8245"/>
    <s v="Cust_73"/>
    <s v="N/A"/>
    <x v="1"/>
    <x v="3"/>
    <x v="3"/>
    <n v="24"/>
    <n v="1999"/>
    <n v="47976"/>
    <x v="0"/>
    <x v="1"/>
  </r>
  <r>
    <d v="2024-11-25T00:00:00"/>
    <s v="INV8251"/>
    <s v="Cust_313"/>
    <s v="Female"/>
    <x v="3"/>
    <x v="0"/>
    <x v="8"/>
    <n v="10"/>
    <n v="2499"/>
    <n v="24990"/>
    <x v="0"/>
    <x v="2"/>
  </r>
  <r>
    <d v="2024-05-27T00:00:00"/>
    <s v="INV8253"/>
    <s v="Cust_61"/>
    <s v="Female"/>
    <x v="4"/>
    <x v="4"/>
    <x v="6"/>
    <n v="1"/>
    <n v="2499"/>
    <n v="2499"/>
    <x v="3"/>
    <x v="1"/>
  </r>
  <r>
    <d v="2024-09-10T00:00:00"/>
    <s v="INV8260"/>
    <s v="Cust_53"/>
    <s v="Male"/>
    <x v="3"/>
    <x v="0"/>
    <x v="17"/>
    <n v="8"/>
    <n v="1999"/>
    <n v="15992"/>
    <x v="0"/>
    <x v="0"/>
  </r>
  <r>
    <d v="2024-12-20T00:00:00"/>
    <s v="INV8264"/>
    <s v="Cust_326"/>
    <s v="Male"/>
    <x v="1"/>
    <x v="1"/>
    <x v="1"/>
    <n v="49"/>
    <n v="499"/>
    <n v="24451"/>
    <x v="0"/>
    <x v="1"/>
  </r>
  <r>
    <d v="2024-08-26T00:00:00"/>
    <s v="INV8269"/>
    <s v="Cust_82"/>
    <s v="Male"/>
    <x v="1"/>
    <x v="0"/>
    <x v="16"/>
    <n v="40"/>
    <n v="1999"/>
    <n v="79960"/>
    <x v="1"/>
    <x v="3"/>
  </r>
  <r>
    <d v="2024-02-07T00:00:00"/>
    <s v="INV8285"/>
    <s v="Cust_98"/>
    <s v="Female"/>
    <x v="2"/>
    <x v="3"/>
    <x v="12"/>
    <n v="39"/>
    <n v="1624"/>
    <n v="63336"/>
    <x v="0"/>
    <x v="0"/>
  </r>
  <r>
    <d v="2024-03-15T00:00:00"/>
    <s v="INV8305"/>
    <s v="Cust_209"/>
    <s v="Female"/>
    <x v="0"/>
    <x v="2"/>
    <x v="19"/>
    <n v="38"/>
    <n v="2999"/>
    <n v="113962"/>
    <x v="2"/>
    <x v="0"/>
  </r>
  <r>
    <d v="2024-07-09T00:00:00"/>
    <s v="INV8316"/>
    <s v="Cust_273"/>
    <s v="N/A"/>
    <x v="3"/>
    <x v="2"/>
    <x v="7"/>
    <n v="3"/>
    <n v="1845"/>
    <n v="5535"/>
    <x v="1"/>
    <x v="4"/>
  </r>
  <r>
    <d v="2024-09-08T00:00:00"/>
    <s v="INV8342"/>
    <s v="Cust_7"/>
    <s v="N/A"/>
    <x v="1"/>
    <x v="4"/>
    <x v="14"/>
    <n v="49"/>
    <n v="3499"/>
    <n v="171451"/>
    <x v="0"/>
    <x v="0"/>
  </r>
  <r>
    <d v="2024-11-15T00:00:00"/>
    <s v="INV8350"/>
    <s v="Cust_113"/>
    <s v="Female"/>
    <x v="3"/>
    <x v="0"/>
    <x v="16"/>
    <n v="25"/>
    <n v="1878"/>
    <n v="46950"/>
    <x v="1"/>
    <x v="0"/>
  </r>
  <r>
    <d v="2024-12-03T00:00:00"/>
    <s v="INV8359"/>
    <s v="Cust_7"/>
    <s v="N/A"/>
    <x v="2"/>
    <x v="4"/>
    <x v="13"/>
    <n v="42"/>
    <n v="2999"/>
    <n v="125958"/>
    <x v="0"/>
    <x v="2"/>
  </r>
  <r>
    <d v="2024-12-11T00:00:00"/>
    <s v="INV8385"/>
    <s v="Cust_371"/>
    <s v="N/A"/>
    <x v="2"/>
    <x v="2"/>
    <x v="2"/>
    <n v="15"/>
    <n v="1999"/>
    <n v="29985"/>
    <x v="1"/>
    <x v="2"/>
  </r>
  <r>
    <d v="2024-03-26T00:00:00"/>
    <s v="INV8397"/>
    <s v="Cust_148"/>
    <s v="N/A"/>
    <x v="1"/>
    <x v="4"/>
    <x v="6"/>
    <n v="4"/>
    <n v="999"/>
    <n v="3996"/>
    <x v="0"/>
    <x v="0"/>
  </r>
  <r>
    <d v="2024-12-21T00:00:00"/>
    <s v="INV8432"/>
    <s v="Cust_386"/>
    <s v="Male"/>
    <x v="3"/>
    <x v="3"/>
    <x v="3"/>
    <n v="48"/>
    <n v="999"/>
    <n v="47952"/>
    <x v="1"/>
    <x v="4"/>
  </r>
  <r>
    <d v="2024-12-21T00:00:00"/>
    <s v="INV8433"/>
    <s v="Cust_233"/>
    <s v="Female"/>
    <x v="1"/>
    <x v="4"/>
    <x v="14"/>
    <n v="42"/>
    <n v="499"/>
    <n v="20958"/>
    <x v="0"/>
    <x v="2"/>
  </r>
  <r>
    <d v="2024-02-23T00:00:00"/>
    <s v="INV8434"/>
    <s v="Cust_17"/>
    <s v="N/A"/>
    <x v="1"/>
    <x v="1"/>
    <x v="10"/>
    <n v="21"/>
    <n v="3499"/>
    <n v="73479"/>
    <x v="0"/>
    <x v="2"/>
  </r>
  <r>
    <d v="2024-02-16T00:00:00"/>
    <s v="INV8438"/>
    <s v="Cust_218"/>
    <s v="Male"/>
    <x v="0"/>
    <x v="1"/>
    <x v="1"/>
    <n v="40"/>
    <n v="3499"/>
    <n v="139960"/>
    <x v="3"/>
    <x v="1"/>
  </r>
  <r>
    <d v="2024-06-07T00:00:00"/>
    <s v="INV8449"/>
    <s v="Cust_148"/>
    <s v="N/A"/>
    <x v="1"/>
    <x v="0"/>
    <x v="16"/>
    <n v="9"/>
    <n v="1878"/>
    <n v="16902"/>
    <x v="0"/>
    <x v="2"/>
  </r>
  <r>
    <d v="2024-01-10T00:00:00"/>
    <s v="INV8450"/>
    <s v="Cust_298"/>
    <s v="N/A"/>
    <x v="1"/>
    <x v="4"/>
    <x v="13"/>
    <n v="38"/>
    <n v="1499"/>
    <n v="56962"/>
    <x v="0"/>
    <x v="2"/>
  </r>
  <r>
    <d v="2024-08-04T00:00:00"/>
    <s v="INV8454"/>
    <s v="Cust_216"/>
    <s v="Male"/>
    <x v="4"/>
    <x v="4"/>
    <x v="13"/>
    <n v="38"/>
    <n v="3499"/>
    <n v="132962"/>
    <x v="3"/>
    <x v="0"/>
  </r>
  <r>
    <d v="2024-04-22T00:00:00"/>
    <s v="INV8460"/>
    <s v="Cust_381"/>
    <s v="N/A"/>
    <x v="1"/>
    <x v="0"/>
    <x v="8"/>
    <n v="3"/>
    <n v="199"/>
    <n v="597"/>
    <x v="0"/>
    <x v="1"/>
  </r>
  <r>
    <d v="2024-10-18T00:00:00"/>
    <s v="INV8461"/>
    <s v="Cust_321"/>
    <s v="Female"/>
    <x v="1"/>
    <x v="1"/>
    <x v="1"/>
    <n v="8"/>
    <n v="3499"/>
    <n v="27992"/>
    <x v="1"/>
    <x v="0"/>
  </r>
  <r>
    <d v="2024-08-07T00:00:00"/>
    <s v="INV8478"/>
    <s v="Cust_183"/>
    <s v="Male"/>
    <x v="2"/>
    <x v="4"/>
    <x v="13"/>
    <n v="8"/>
    <n v="1499"/>
    <n v="11992"/>
    <x v="1"/>
    <x v="3"/>
  </r>
  <r>
    <d v="2024-06-08T00:00:00"/>
    <s v="INV8483"/>
    <s v="Cust_81"/>
    <s v="N/A"/>
    <x v="1"/>
    <x v="4"/>
    <x v="6"/>
    <n v="43"/>
    <n v="3499"/>
    <n v="150457"/>
    <x v="0"/>
    <x v="2"/>
  </r>
  <r>
    <d v="2024-07-20T00:00:00"/>
    <s v="INV8484"/>
    <s v="Cust_193"/>
    <s v="Female"/>
    <x v="4"/>
    <x v="2"/>
    <x v="4"/>
    <n v="31"/>
    <n v="1499"/>
    <n v="46469"/>
    <x v="1"/>
    <x v="1"/>
  </r>
  <r>
    <d v="2024-02-05T00:00:00"/>
    <s v="INV8486"/>
    <s v="Cust_378"/>
    <s v="Female"/>
    <x v="1"/>
    <x v="2"/>
    <x v="4"/>
    <n v="49"/>
    <n v="1499"/>
    <n v="73451"/>
    <x v="0"/>
    <x v="1"/>
  </r>
  <r>
    <d v="2024-09-06T00:00:00"/>
    <s v="INV8491"/>
    <s v="Cust_127"/>
    <s v="Male"/>
    <x v="4"/>
    <x v="4"/>
    <x v="13"/>
    <n v="8"/>
    <n v="199"/>
    <n v="1592"/>
    <x v="1"/>
    <x v="4"/>
  </r>
  <r>
    <d v="2024-06-05T00:00:00"/>
    <s v="INV8508"/>
    <s v="Cust_284"/>
    <s v="Female"/>
    <x v="1"/>
    <x v="2"/>
    <x v="7"/>
    <n v="26"/>
    <n v="1999"/>
    <n v="51974"/>
    <x v="2"/>
    <x v="2"/>
  </r>
  <r>
    <d v="2024-01-12T00:00:00"/>
    <s v="INV8517"/>
    <s v="Cust_276"/>
    <s v="Female"/>
    <x v="3"/>
    <x v="0"/>
    <x v="16"/>
    <n v="9"/>
    <n v="2499"/>
    <n v="22491"/>
    <x v="0"/>
    <x v="1"/>
  </r>
  <r>
    <d v="2024-10-20T00:00:00"/>
    <s v="INV8527"/>
    <s v="Cust_293"/>
    <s v="Female"/>
    <x v="4"/>
    <x v="2"/>
    <x v="19"/>
    <n v="2"/>
    <n v="1499"/>
    <n v="2998"/>
    <x v="2"/>
    <x v="2"/>
  </r>
  <r>
    <d v="2024-09-19T00:00:00"/>
    <s v="INV8529"/>
    <s v="Cust_29"/>
    <s v="Male"/>
    <x v="3"/>
    <x v="0"/>
    <x v="16"/>
    <n v="11"/>
    <n v="199"/>
    <n v="2189"/>
    <x v="0"/>
    <x v="0"/>
  </r>
  <r>
    <d v="2024-11-26T00:00:00"/>
    <s v="INV8532"/>
    <s v="Cust_131"/>
    <s v="Male"/>
    <x v="3"/>
    <x v="1"/>
    <x v="18"/>
    <n v="3"/>
    <n v="499"/>
    <n v="1497"/>
    <x v="3"/>
    <x v="2"/>
  </r>
  <r>
    <d v="2024-09-24T00:00:00"/>
    <s v="INV8541"/>
    <s v="Cust_85"/>
    <s v="Female"/>
    <x v="1"/>
    <x v="0"/>
    <x v="17"/>
    <n v="35"/>
    <n v="2499"/>
    <n v="87465"/>
    <x v="3"/>
    <x v="3"/>
  </r>
  <r>
    <d v="2024-05-21T00:00:00"/>
    <s v="INV8555"/>
    <s v="Cust_173"/>
    <s v="Female"/>
    <x v="0"/>
    <x v="1"/>
    <x v="18"/>
    <n v="48"/>
    <n v="999"/>
    <n v="47952"/>
    <x v="0"/>
    <x v="0"/>
  </r>
  <r>
    <d v="2024-12-22T00:00:00"/>
    <s v="INV8560"/>
    <s v="Cust_82"/>
    <s v="Male"/>
    <x v="1"/>
    <x v="1"/>
    <x v="1"/>
    <n v="41"/>
    <n v="1999"/>
    <n v="81959"/>
    <x v="3"/>
    <x v="2"/>
  </r>
  <r>
    <d v="2024-03-24T00:00:00"/>
    <s v="INV8564"/>
    <s v="Cust_217"/>
    <s v="Male"/>
    <x v="3"/>
    <x v="3"/>
    <x v="5"/>
    <n v="47"/>
    <n v="199"/>
    <n v="9353"/>
    <x v="0"/>
    <x v="4"/>
  </r>
  <r>
    <d v="2024-10-12T00:00:00"/>
    <s v="INV8569"/>
    <s v="Cust_270"/>
    <s v="N/A"/>
    <x v="2"/>
    <x v="4"/>
    <x v="14"/>
    <n v="7"/>
    <n v="1749"/>
    <n v="12243"/>
    <x v="0"/>
    <x v="0"/>
  </r>
  <r>
    <d v="2024-03-06T00:00:00"/>
    <s v="INV8573"/>
    <s v="Cust_250"/>
    <s v="Male"/>
    <x v="2"/>
    <x v="3"/>
    <x v="5"/>
    <n v="24"/>
    <n v="1999"/>
    <n v="47976"/>
    <x v="0"/>
    <x v="1"/>
  </r>
  <r>
    <d v="2024-03-13T00:00:00"/>
    <s v="INV8579"/>
    <s v="Cust_355"/>
    <s v="Male"/>
    <x v="1"/>
    <x v="3"/>
    <x v="3"/>
    <n v="11"/>
    <n v="199"/>
    <n v="2189"/>
    <x v="1"/>
    <x v="3"/>
  </r>
  <r>
    <d v="2024-03-03T00:00:00"/>
    <s v="INV8606"/>
    <s v="Cust_44"/>
    <s v="Male"/>
    <x v="1"/>
    <x v="0"/>
    <x v="8"/>
    <n v="47"/>
    <n v="3499"/>
    <n v="164453"/>
    <x v="0"/>
    <x v="2"/>
  </r>
  <r>
    <d v="2024-01-09T00:00:00"/>
    <s v="INV8611"/>
    <s v="Cust_96"/>
    <s v="Female"/>
    <x v="0"/>
    <x v="2"/>
    <x v="4"/>
    <n v="44"/>
    <n v="999"/>
    <n v="43956"/>
    <x v="0"/>
    <x v="3"/>
  </r>
  <r>
    <d v="2024-06-13T00:00:00"/>
    <s v="INV8612"/>
    <s v="Cust_25"/>
    <s v="Female"/>
    <x v="3"/>
    <x v="1"/>
    <x v="1"/>
    <n v="5"/>
    <n v="1499"/>
    <n v="7495"/>
    <x v="1"/>
    <x v="1"/>
  </r>
  <r>
    <d v="2024-10-15T00:00:00"/>
    <s v="INV8613"/>
    <s v="Cust_166"/>
    <s v="Female"/>
    <x v="3"/>
    <x v="4"/>
    <x v="13"/>
    <n v="26"/>
    <n v="3499"/>
    <n v="90974"/>
    <x v="0"/>
    <x v="1"/>
  </r>
  <r>
    <d v="2024-12-20T00:00:00"/>
    <s v="INV8616"/>
    <s v="Cust_198"/>
    <s v="Female"/>
    <x v="2"/>
    <x v="2"/>
    <x v="2"/>
    <n v="28"/>
    <n v="2499"/>
    <n v="69972"/>
    <x v="3"/>
    <x v="0"/>
  </r>
  <r>
    <d v="2024-08-12T00:00:00"/>
    <s v="INV8618"/>
    <s v="Cust_185"/>
    <s v="Female"/>
    <x v="0"/>
    <x v="3"/>
    <x v="15"/>
    <n v="39"/>
    <n v="1499"/>
    <n v="58461"/>
    <x v="0"/>
    <x v="2"/>
  </r>
  <r>
    <d v="2024-07-05T00:00:00"/>
    <s v="INV8619"/>
    <s v="Cust_370"/>
    <s v="Male"/>
    <x v="0"/>
    <x v="3"/>
    <x v="15"/>
    <n v="17"/>
    <n v="2499"/>
    <n v="42483"/>
    <x v="2"/>
    <x v="1"/>
  </r>
  <r>
    <d v="2024-07-19T00:00:00"/>
    <s v="INV8622"/>
    <s v="Cust_276"/>
    <s v="Female"/>
    <x v="0"/>
    <x v="1"/>
    <x v="10"/>
    <n v="24"/>
    <n v="499"/>
    <n v="11976"/>
    <x v="2"/>
    <x v="0"/>
  </r>
  <r>
    <d v="2024-03-20T00:00:00"/>
    <s v="INV8633"/>
    <s v="Cust_78"/>
    <s v="Male"/>
    <x v="4"/>
    <x v="4"/>
    <x v="14"/>
    <n v="11"/>
    <n v="499"/>
    <n v="5489"/>
    <x v="0"/>
    <x v="4"/>
  </r>
  <r>
    <d v="2024-02-21T00:00:00"/>
    <s v="INV8651"/>
    <s v="Cust_302"/>
    <s v="N/A"/>
    <x v="3"/>
    <x v="2"/>
    <x v="2"/>
    <n v="48"/>
    <n v="499"/>
    <n v="23952"/>
    <x v="1"/>
    <x v="2"/>
  </r>
  <r>
    <d v="2024-02-11T00:00:00"/>
    <s v="INV8657"/>
    <s v="Cust_80"/>
    <s v="N/A"/>
    <x v="1"/>
    <x v="2"/>
    <x v="19"/>
    <n v="23"/>
    <n v="1499"/>
    <n v="34477"/>
    <x v="3"/>
    <x v="2"/>
  </r>
  <r>
    <d v="2024-09-18T00:00:00"/>
    <s v="INV8668"/>
    <s v="Cust_24"/>
    <s v="N/A"/>
    <x v="3"/>
    <x v="4"/>
    <x v="11"/>
    <n v="3"/>
    <n v="1999"/>
    <n v="5997"/>
    <x v="0"/>
    <x v="0"/>
  </r>
  <r>
    <d v="2024-04-22T00:00:00"/>
    <s v="INV8673"/>
    <s v="Cust_60"/>
    <s v="Female"/>
    <x v="3"/>
    <x v="3"/>
    <x v="15"/>
    <n v="13"/>
    <n v="499"/>
    <n v="6487"/>
    <x v="3"/>
    <x v="0"/>
  </r>
  <r>
    <d v="2024-11-10T00:00:00"/>
    <s v="INV8679"/>
    <s v="Cust_154"/>
    <s v="N/A"/>
    <x v="2"/>
    <x v="0"/>
    <x v="16"/>
    <n v="33"/>
    <n v="1999"/>
    <n v="65967"/>
    <x v="0"/>
    <x v="2"/>
  </r>
  <r>
    <d v="2024-01-08T00:00:00"/>
    <s v="INV8690"/>
    <s v="Cust_267"/>
    <s v="Male"/>
    <x v="3"/>
    <x v="4"/>
    <x v="11"/>
    <n v="33"/>
    <n v="499"/>
    <n v="16467"/>
    <x v="0"/>
    <x v="2"/>
  </r>
  <r>
    <d v="2024-05-16T00:00:00"/>
    <s v="INV8692"/>
    <s v="Cust_4"/>
    <s v="Female"/>
    <x v="3"/>
    <x v="3"/>
    <x v="3"/>
    <n v="24"/>
    <n v="2499"/>
    <n v="59976"/>
    <x v="0"/>
    <x v="1"/>
  </r>
  <r>
    <d v="2024-12-15T00:00:00"/>
    <s v="INV8699"/>
    <s v="Cust_122"/>
    <s v="N/A"/>
    <x v="3"/>
    <x v="0"/>
    <x v="16"/>
    <n v="11"/>
    <n v="3499"/>
    <n v="38489"/>
    <x v="1"/>
    <x v="0"/>
  </r>
  <r>
    <d v="2024-11-22T00:00:00"/>
    <s v="INV8700"/>
    <s v="Cust_226"/>
    <s v="Female"/>
    <x v="3"/>
    <x v="1"/>
    <x v="9"/>
    <n v="2"/>
    <n v="999"/>
    <n v="1998"/>
    <x v="2"/>
    <x v="4"/>
  </r>
  <r>
    <d v="2024-05-20T00:00:00"/>
    <s v="INV8705"/>
    <s v="Cust_319"/>
    <s v="Male"/>
    <x v="1"/>
    <x v="4"/>
    <x v="13"/>
    <n v="22"/>
    <n v="1999"/>
    <n v="43978"/>
    <x v="3"/>
    <x v="0"/>
  </r>
  <r>
    <d v="2024-09-03T00:00:00"/>
    <s v="INV8708"/>
    <s v="Cust_11"/>
    <s v="Male"/>
    <x v="0"/>
    <x v="0"/>
    <x v="17"/>
    <n v="31"/>
    <n v="2499"/>
    <n v="77469"/>
    <x v="1"/>
    <x v="2"/>
  </r>
  <r>
    <d v="2024-06-12T00:00:00"/>
    <s v="INV8711"/>
    <s v="Cust_98"/>
    <s v="N/A"/>
    <x v="2"/>
    <x v="0"/>
    <x v="0"/>
    <n v="30"/>
    <n v="3499"/>
    <n v="104970"/>
    <x v="1"/>
    <x v="1"/>
  </r>
  <r>
    <d v="2024-10-28T00:00:00"/>
    <s v="INV8724"/>
    <s v="Cust_131"/>
    <s v="N/A"/>
    <x v="3"/>
    <x v="0"/>
    <x v="16"/>
    <n v="42"/>
    <n v="2999"/>
    <n v="125958"/>
    <x v="0"/>
    <x v="0"/>
  </r>
  <r>
    <d v="2024-12-26T00:00:00"/>
    <s v="INV8736"/>
    <s v="Cust_177"/>
    <s v="Female"/>
    <x v="3"/>
    <x v="4"/>
    <x v="6"/>
    <n v="35"/>
    <n v="3499"/>
    <n v="122465"/>
    <x v="2"/>
    <x v="4"/>
  </r>
  <r>
    <d v="2024-02-22T00:00:00"/>
    <s v="INV8744"/>
    <s v="Cust_153"/>
    <s v="Female"/>
    <x v="0"/>
    <x v="2"/>
    <x v="4"/>
    <n v="4"/>
    <n v="3499"/>
    <n v="13996"/>
    <x v="1"/>
    <x v="1"/>
  </r>
  <r>
    <d v="2024-08-12T00:00:00"/>
    <s v="INV8752"/>
    <s v="Cust_374"/>
    <s v="Male"/>
    <x v="4"/>
    <x v="0"/>
    <x v="16"/>
    <n v="24"/>
    <n v="1999"/>
    <n v="47976"/>
    <x v="0"/>
    <x v="2"/>
  </r>
  <r>
    <d v="2024-01-01T00:00:00"/>
    <s v="INV8753"/>
    <s v="Cust_236"/>
    <s v="Female"/>
    <x v="1"/>
    <x v="0"/>
    <x v="17"/>
    <n v="7"/>
    <n v="1878"/>
    <n v="13146"/>
    <x v="2"/>
    <x v="1"/>
  </r>
  <r>
    <d v="2024-01-09T00:00:00"/>
    <s v="INV8758"/>
    <s v="Cust_381"/>
    <s v="Male"/>
    <x v="1"/>
    <x v="3"/>
    <x v="15"/>
    <n v="33"/>
    <n v="999"/>
    <n v="32967"/>
    <x v="0"/>
    <x v="1"/>
  </r>
  <r>
    <d v="2024-10-20T00:00:00"/>
    <s v="INV8777"/>
    <s v="Cust_100"/>
    <s v="Female"/>
    <x v="0"/>
    <x v="3"/>
    <x v="12"/>
    <n v="8"/>
    <n v="3499"/>
    <n v="27992"/>
    <x v="2"/>
    <x v="0"/>
  </r>
  <r>
    <d v="2024-11-25T00:00:00"/>
    <s v="INV8784"/>
    <s v="Cust_325"/>
    <s v="Male"/>
    <x v="1"/>
    <x v="3"/>
    <x v="15"/>
    <n v="26"/>
    <n v="499"/>
    <n v="12974"/>
    <x v="0"/>
    <x v="3"/>
  </r>
  <r>
    <d v="2024-10-07T00:00:00"/>
    <s v="INV8787"/>
    <s v="Cust_177"/>
    <s v="Female"/>
    <x v="2"/>
    <x v="4"/>
    <x v="13"/>
    <n v="22"/>
    <n v="1999"/>
    <n v="43978"/>
    <x v="2"/>
    <x v="1"/>
  </r>
  <r>
    <d v="2024-12-16T00:00:00"/>
    <s v="INV8800"/>
    <s v="Cust_339"/>
    <s v="Male"/>
    <x v="1"/>
    <x v="1"/>
    <x v="10"/>
    <n v="12"/>
    <n v="1499"/>
    <n v="17988"/>
    <x v="0"/>
    <x v="0"/>
  </r>
  <r>
    <d v="2024-07-03T00:00:00"/>
    <s v="INV8811"/>
    <s v="Cust_176"/>
    <s v="Female"/>
    <x v="0"/>
    <x v="1"/>
    <x v="18"/>
    <n v="7"/>
    <n v="2499"/>
    <n v="17493"/>
    <x v="0"/>
    <x v="2"/>
  </r>
  <r>
    <d v="2024-01-01T00:00:00"/>
    <s v="INV8827"/>
    <s v="Cust_143"/>
    <s v="Female"/>
    <x v="3"/>
    <x v="4"/>
    <x v="14"/>
    <n v="9"/>
    <n v="2999"/>
    <n v="26991"/>
    <x v="0"/>
    <x v="0"/>
  </r>
  <r>
    <d v="2024-07-12T00:00:00"/>
    <s v="INV8843"/>
    <s v="Cust_92"/>
    <s v="N/A"/>
    <x v="4"/>
    <x v="1"/>
    <x v="1"/>
    <n v="3"/>
    <n v="999"/>
    <n v="2997"/>
    <x v="1"/>
    <x v="0"/>
  </r>
  <r>
    <d v="2024-11-08T00:00:00"/>
    <s v="INV8886"/>
    <s v="Cust_379"/>
    <s v="N/A"/>
    <x v="1"/>
    <x v="1"/>
    <x v="10"/>
    <n v="29"/>
    <n v="2499"/>
    <n v="72471"/>
    <x v="0"/>
    <x v="1"/>
  </r>
  <r>
    <d v="2024-02-04T00:00:00"/>
    <s v="INV8894"/>
    <s v="Cust_311"/>
    <s v="Female"/>
    <x v="1"/>
    <x v="3"/>
    <x v="15"/>
    <n v="7"/>
    <n v="1999"/>
    <n v="13993"/>
    <x v="2"/>
    <x v="2"/>
  </r>
  <r>
    <d v="2024-07-08T00:00:00"/>
    <s v="INV8905"/>
    <s v="Cust_179"/>
    <s v="Male"/>
    <x v="3"/>
    <x v="2"/>
    <x v="19"/>
    <n v="31"/>
    <n v="1845"/>
    <n v="57195"/>
    <x v="1"/>
    <x v="0"/>
  </r>
  <r>
    <d v="2024-05-22T00:00:00"/>
    <s v="INV8916"/>
    <s v="Cust_2"/>
    <s v="Female"/>
    <x v="3"/>
    <x v="2"/>
    <x v="4"/>
    <n v="2"/>
    <n v="2499"/>
    <n v="4998"/>
    <x v="0"/>
    <x v="2"/>
  </r>
  <r>
    <d v="2024-11-02T00:00:00"/>
    <s v="INV8921"/>
    <s v="Cust_210"/>
    <s v="Female"/>
    <x v="3"/>
    <x v="2"/>
    <x v="2"/>
    <n v="46"/>
    <n v="1499"/>
    <n v="68954"/>
    <x v="3"/>
    <x v="1"/>
  </r>
  <r>
    <d v="2024-04-27T00:00:00"/>
    <s v="INV8933"/>
    <s v="Cust_325"/>
    <s v="N/A"/>
    <x v="3"/>
    <x v="4"/>
    <x v="13"/>
    <n v="2"/>
    <n v="999"/>
    <n v="1998"/>
    <x v="0"/>
    <x v="2"/>
  </r>
  <r>
    <d v="2024-05-05T00:00:00"/>
    <s v="INV8935"/>
    <s v="Cust_390"/>
    <s v="N/A"/>
    <x v="3"/>
    <x v="3"/>
    <x v="12"/>
    <n v="13"/>
    <n v="999"/>
    <n v="12987"/>
    <x v="0"/>
    <x v="2"/>
  </r>
  <r>
    <d v="2024-08-16T00:00:00"/>
    <s v="INV8939"/>
    <s v="Cust_268"/>
    <s v="Female"/>
    <x v="0"/>
    <x v="3"/>
    <x v="3"/>
    <n v="13"/>
    <n v="2999"/>
    <n v="38987"/>
    <x v="1"/>
    <x v="1"/>
  </r>
  <r>
    <d v="2024-10-15T00:00:00"/>
    <s v="INV8941"/>
    <s v="Cust_157"/>
    <s v="N/A"/>
    <x v="3"/>
    <x v="1"/>
    <x v="1"/>
    <n v="1"/>
    <n v="1999"/>
    <n v="1999"/>
    <x v="1"/>
    <x v="1"/>
  </r>
  <r>
    <d v="2024-04-07T00:00:00"/>
    <s v="INV8953"/>
    <s v="Cust_332"/>
    <s v="N/A"/>
    <x v="3"/>
    <x v="3"/>
    <x v="15"/>
    <n v="39"/>
    <n v="2499"/>
    <n v="97461"/>
    <x v="0"/>
    <x v="1"/>
  </r>
  <r>
    <d v="2024-09-20T00:00:00"/>
    <s v="INV8962"/>
    <s v="Cust_375"/>
    <s v="Male"/>
    <x v="0"/>
    <x v="4"/>
    <x v="6"/>
    <n v="19"/>
    <n v="3499"/>
    <n v="66481"/>
    <x v="1"/>
    <x v="3"/>
  </r>
  <r>
    <d v="2024-06-05T00:00:00"/>
    <s v="INV8973"/>
    <s v="Cust_47"/>
    <s v="Male"/>
    <x v="4"/>
    <x v="3"/>
    <x v="15"/>
    <n v="41"/>
    <n v="1624"/>
    <n v="66584"/>
    <x v="1"/>
    <x v="4"/>
  </r>
  <r>
    <d v="2024-04-08T00:00:00"/>
    <s v="INV8988"/>
    <s v="Cust_104"/>
    <s v="Female"/>
    <x v="1"/>
    <x v="0"/>
    <x v="16"/>
    <n v="48"/>
    <n v="1878"/>
    <n v="90144"/>
    <x v="0"/>
    <x v="0"/>
  </r>
  <r>
    <d v="2024-09-28T00:00:00"/>
    <s v="INV8994"/>
    <s v="Cust_313"/>
    <s v="N/A"/>
    <x v="3"/>
    <x v="4"/>
    <x v="13"/>
    <n v="19"/>
    <n v="1749"/>
    <n v="33231"/>
    <x v="1"/>
    <x v="4"/>
  </r>
  <r>
    <d v="2024-04-04T00:00:00"/>
    <s v="INV8999"/>
    <s v="Cust_137"/>
    <s v="N/A"/>
    <x v="0"/>
    <x v="1"/>
    <x v="10"/>
    <n v="21"/>
    <n v="1838"/>
    <n v="38598"/>
    <x v="0"/>
    <x v="0"/>
  </r>
  <r>
    <d v="2024-04-04T00:00:00"/>
    <s v="INV9005"/>
    <s v="Cust_98"/>
    <s v="Female"/>
    <x v="0"/>
    <x v="1"/>
    <x v="1"/>
    <n v="19"/>
    <n v="3499"/>
    <n v="66481"/>
    <x v="2"/>
    <x v="2"/>
  </r>
  <r>
    <d v="2024-05-19T00:00:00"/>
    <s v="INV9017"/>
    <s v="Cust_178"/>
    <s v="Male"/>
    <x v="1"/>
    <x v="3"/>
    <x v="15"/>
    <n v="18"/>
    <n v="499"/>
    <n v="8982"/>
    <x v="0"/>
    <x v="0"/>
  </r>
  <r>
    <d v="2024-02-15T00:00:00"/>
    <s v="INV9022"/>
    <s v="Cust_256"/>
    <s v="N/A"/>
    <x v="0"/>
    <x v="3"/>
    <x v="3"/>
    <n v="36"/>
    <n v="1624"/>
    <n v="58464"/>
    <x v="0"/>
    <x v="2"/>
  </r>
  <r>
    <d v="2024-01-07T00:00:00"/>
    <s v="INV9031"/>
    <s v="Cust_215"/>
    <s v="Male"/>
    <x v="0"/>
    <x v="4"/>
    <x v="13"/>
    <n v="39"/>
    <n v="1749"/>
    <n v="68211"/>
    <x v="1"/>
    <x v="0"/>
  </r>
  <r>
    <d v="2024-08-12T00:00:00"/>
    <s v="INV9041"/>
    <s v="Cust_177"/>
    <s v="Male"/>
    <x v="1"/>
    <x v="3"/>
    <x v="12"/>
    <n v="22"/>
    <n v="1999"/>
    <n v="43978"/>
    <x v="0"/>
    <x v="2"/>
  </r>
  <r>
    <d v="2024-11-24T00:00:00"/>
    <s v="INV9042"/>
    <s v="Cust_268"/>
    <s v="Male"/>
    <x v="3"/>
    <x v="4"/>
    <x v="11"/>
    <n v="12"/>
    <n v="2999"/>
    <n v="35988"/>
    <x v="1"/>
    <x v="2"/>
  </r>
  <r>
    <d v="2024-10-01T00:00:00"/>
    <s v="INV9071"/>
    <s v="Cust_62"/>
    <s v="Female"/>
    <x v="1"/>
    <x v="0"/>
    <x v="8"/>
    <n v="43"/>
    <n v="1499"/>
    <n v="64457"/>
    <x v="1"/>
    <x v="4"/>
  </r>
  <r>
    <d v="2024-03-30T00:00:00"/>
    <s v="INV9085"/>
    <s v="Cust_331"/>
    <s v="N/A"/>
    <x v="0"/>
    <x v="4"/>
    <x v="13"/>
    <n v="37"/>
    <n v="1499"/>
    <n v="55463"/>
    <x v="1"/>
    <x v="1"/>
  </r>
  <r>
    <d v="2024-01-04T00:00:00"/>
    <s v="INV9090"/>
    <s v="Cust_205"/>
    <s v="Male"/>
    <x v="2"/>
    <x v="4"/>
    <x v="11"/>
    <n v="48"/>
    <n v="499"/>
    <n v="23952"/>
    <x v="3"/>
    <x v="2"/>
  </r>
  <r>
    <d v="2024-10-01T00:00:00"/>
    <s v="INV9098"/>
    <s v="Cust_145"/>
    <s v="N/A"/>
    <x v="0"/>
    <x v="2"/>
    <x v="19"/>
    <n v="22"/>
    <n v="2999"/>
    <n v="65978"/>
    <x v="0"/>
    <x v="2"/>
  </r>
  <r>
    <d v="2024-07-16T00:00:00"/>
    <s v="INV9099"/>
    <s v="Cust_39"/>
    <s v="Female"/>
    <x v="1"/>
    <x v="1"/>
    <x v="9"/>
    <n v="2"/>
    <n v="199"/>
    <n v="398"/>
    <x v="0"/>
    <x v="1"/>
  </r>
  <r>
    <d v="2024-01-13T00:00:00"/>
    <s v="INV9115"/>
    <s v="Cust_282"/>
    <s v="N/A"/>
    <x v="1"/>
    <x v="2"/>
    <x v="19"/>
    <n v="11"/>
    <n v="2999"/>
    <n v="32989"/>
    <x v="0"/>
    <x v="2"/>
  </r>
  <r>
    <d v="2024-09-10T00:00:00"/>
    <s v="INV9117"/>
    <s v="Cust_311"/>
    <s v="Female"/>
    <x v="1"/>
    <x v="4"/>
    <x v="6"/>
    <n v="11"/>
    <n v="2499"/>
    <n v="27489"/>
    <x v="1"/>
    <x v="3"/>
  </r>
  <r>
    <d v="2024-07-13T00:00:00"/>
    <s v="INV9138"/>
    <s v="Cust_111"/>
    <s v="Female"/>
    <x v="4"/>
    <x v="3"/>
    <x v="5"/>
    <n v="22"/>
    <n v="199"/>
    <n v="4378"/>
    <x v="0"/>
    <x v="1"/>
  </r>
  <r>
    <d v="2024-03-29T00:00:00"/>
    <s v="INV9153"/>
    <s v="Cust_354"/>
    <s v="Female"/>
    <x v="0"/>
    <x v="3"/>
    <x v="15"/>
    <n v="14"/>
    <n v="1999"/>
    <n v="27986"/>
    <x v="0"/>
    <x v="3"/>
  </r>
  <r>
    <d v="2024-03-26T00:00:00"/>
    <s v="INV9165"/>
    <s v="Cust_163"/>
    <s v="Male"/>
    <x v="3"/>
    <x v="0"/>
    <x v="8"/>
    <n v="19"/>
    <n v="199"/>
    <n v="3781"/>
    <x v="1"/>
    <x v="2"/>
  </r>
  <r>
    <d v="2024-02-15T00:00:00"/>
    <s v="INV9167"/>
    <s v="Cust_338"/>
    <s v="Male"/>
    <x v="3"/>
    <x v="1"/>
    <x v="18"/>
    <n v="21"/>
    <n v="1499"/>
    <n v="31479"/>
    <x v="1"/>
    <x v="3"/>
  </r>
  <r>
    <d v="2024-11-19T00:00:00"/>
    <s v="INV9179"/>
    <s v="Cust_8"/>
    <s v="Male"/>
    <x v="1"/>
    <x v="4"/>
    <x v="11"/>
    <n v="44"/>
    <n v="1999"/>
    <n v="87956"/>
    <x v="0"/>
    <x v="0"/>
  </r>
  <r>
    <d v="2024-07-14T00:00:00"/>
    <s v="INV9199"/>
    <s v="Cust_145"/>
    <s v="Male"/>
    <x v="2"/>
    <x v="3"/>
    <x v="5"/>
    <n v="22"/>
    <n v="499"/>
    <n v="10978"/>
    <x v="1"/>
    <x v="0"/>
  </r>
  <r>
    <d v="2024-07-01T00:00:00"/>
    <s v="INV9201"/>
    <s v="Cust_61"/>
    <s v="Female"/>
    <x v="4"/>
    <x v="0"/>
    <x v="17"/>
    <n v="13"/>
    <n v="1878"/>
    <n v="24414"/>
    <x v="3"/>
    <x v="2"/>
  </r>
  <r>
    <d v="2024-01-10T00:00:00"/>
    <s v="INV9221"/>
    <s v="Cust_40"/>
    <s v="Male"/>
    <x v="0"/>
    <x v="1"/>
    <x v="18"/>
    <n v="18"/>
    <n v="1838"/>
    <n v="33084"/>
    <x v="0"/>
    <x v="0"/>
  </r>
  <r>
    <d v="2024-08-26T00:00:00"/>
    <s v="INV9229"/>
    <s v="Cust_241"/>
    <s v="N/A"/>
    <x v="3"/>
    <x v="0"/>
    <x v="17"/>
    <n v="40"/>
    <n v="999"/>
    <n v="39960"/>
    <x v="0"/>
    <x v="1"/>
  </r>
  <r>
    <d v="2024-08-14T00:00:00"/>
    <s v="INV9238"/>
    <s v="Cust_380"/>
    <s v="N/A"/>
    <x v="3"/>
    <x v="3"/>
    <x v="5"/>
    <n v="3"/>
    <n v="999"/>
    <n v="2997"/>
    <x v="0"/>
    <x v="1"/>
  </r>
  <r>
    <d v="2024-08-07T00:00:00"/>
    <s v="INV9270"/>
    <s v="Cust_348"/>
    <s v="Male"/>
    <x v="1"/>
    <x v="1"/>
    <x v="10"/>
    <n v="9"/>
    <n v="199"/>
    <n v="1791"/>
    <x v="0"/>
    <x v="2"/>
  </r>
  <r>
    <d v="2024-03-15T00:00:00"/>
    <s v="INV9279"/>
    <s v="Cust_148"/>
    <s v="N/A"/>
    <x v="4"/>
    <x v="3"/>
    <x v="15"/>
    <n v="10"/>
    <n v="199"/>
    <n v="1990"/>
    <x v="0"/>
    <x v="2"/>
  </r>
  <r>
    <d v="2024-08-04T00:00:00"/>
    <s v="INV9280"/>
    <s v="Cust_142"/>
    <s v="Male"/>
    <x v="4"/>
    <x v="4"/>
    <x v="6"/>
    <n v="22"/>
    <n v="2999"/>
    <n v="65978"/>
    <x v="1"/>
    <x v="0"/>
  </r>
  <r>
    <d v="2024-09-20T00:00:00"/>
    <s v="INV9288"/>
    <s v="Cust_362"/>
    <s v="Female"/>
    <x v="1"/>
    <x v="0"/>
    <x v="8"/>
    <n v="7"/>
    <n v="199"/>
    <n v="1393"/>
    <x v="0"/>
    <x v="1"/>
  </r>
  <r>
    <d v="2024-02-27T00:00:00"/>
    <s v="INV9289"/>
    <s v="Cust_127"/>
    <s v="Female"/>
    <x v="0"/>
    <x v="1"/>
    <x v="18"/>
    <n v="26"/>
    <n v="499"/>
    <n v="12974"/>
    <x v="0"/>
    <x v="2"/>
  </r>
  <r>
    <d v="2024-01-04T00:00:00"/>
    <s v="INV9308"/>
    <s v="Cust_188"/>
    <s v="Male"/>
    <x v="3"/>
    <x v="2"/>
    <x v="4"/>
    <n v="45"/>
    <n v="999"/>
    <n v="44955"/>
    <x v="0"/>
    <x v="2"/>
  </r>
  <r>
    <d v="2024-12-07T00:00:00"/>
    <s v="INV9317"/>
    <s v="Cust_14"/>
    <s v="N/A"/>
    <x v="1"/>
    <x v="4"/>
    <x v="13"/>
    <n v="43"/>
    <n v="499"/>
    <n v="21457"/>
    <x v="0"/>
    <x v="2"/>
  </r>
  <r>
    <d v="2024-09-09T00:00:00"/>
    <s v="INV9318"/>
    <s v="Cust_260"/>
    <s v="Female"/>
    <x v="3"/>
    <x v="2"/>
    <x v="19"/>
    <n v="19"/>
    <n v="499"/>
    <n v="9481"/>
    <x v="0"/>
    <x v="3"/>
  </r>
  <r>
    <d v="2024-08-29T00:00:00"/>
    <s v="INV9320"/>
    <s v="Cust_157"/>
    <s v="Female"/>
    <x v="3"/>
    <x v="1"/>
    <x v="1"/>
    <n v="7"/>
    <n v="1999"/>
    <n v="13993"/>
    <x v="0"/>
    <x v="2"/>
  </r>
  <r>
    <d v="2024-06-28T00:00:00"/>
    <s v="INV9327"/>
    <s v="Cust_246"/>
    <s v="Female"/>
    <x v="1"/>
    <x v="2"/>
    <x v="4"/>
    <n v="41"/>
    <n v="199"/>
    <n v="8159"/>
    <x v="1"/>
    <x v="1"/>
  </r>
  <r>
    <d v="2024-04-04T00:00:00"/>
    <s v="INV9337"/>
    <s v="Cust_352"/>
    <s v="Female"/>
    <x v="3"/>
    <x v="1"/>
    <x v="10"/>
    <n v="7"/>
    <n v="199"/>
    <n v="1393"/>
    <x v="0"/>
    <x v="1"/>
  </r>
  <r>
    <d v="2024-06-03T00:00:00"/>
    <s v="INV9346"/>
    <s v="Cust_251"/>
    <s v="Female"/>
    <x v="3"/>
    <x v="4"/>
    <x v="13"/>
    <n v="1"/>
    <n v="1499"/>
    <n v="1499"/>
    <x v="3"/>
    <x v="4"/>
  </r>
  <r>
    <d v="2024-01-25T00:00:00"/>
    <s v="INV9348"/>
    <s v="Cust_17"/>
    <s v="Male"/>
    <x v="4"/>
    <x v="4"/>
    <x v="14"/>
    <n v="47"/>
    <n v="199"/>
    <n v="9353"/>
    <x v="0"/>
    <x v="0"/>
  </r>
  <r>
    <d v="2024-08-04T00:00:00"/>
    <s v="INV9375"/>
    <s v="Cust_216"/>
    <s v="N/A"/>
    <x v="1"/>
    <x v="1"/>
    <x v="18"/>
    <n v="12"/>
    <n v="2999"/>
    <n v="35988"/>
    <x v="0"/>
    <x v="0"/>
  </r>
  <r>
    <d v="2024-01-14T00:00:00"/>
    <s v="INV9379"/>
    <s v="Cust_274"/>
    <s v="N/A"/>
    <x v="3"/>
    <x v="4"/>
    <x v="11"/>
    <n v="33"/>
    <n v="1499"/>
    <n v="49467"/>
    <x v="2"/>
    <x v="0"/>
  </r>
  <r>
    <d v="2024-11-14T00:00:00"/>
    <s v="INV9423"/>
    <s v="Cust_49"/>
    <s v="Female"/>
    <x v="3"/>
    <x v="4"/>
    <x v="11"/>
    <n v="8"/>
    <n v="1499"/>
    <n v="11992"/>
    <x v="0"/>
    <x v="2"/>
  </r>
  <r>
    <d v="2024-05-23T00:00:00"/>
    <s v="INV9431"/>
    <s v="Cust_84"/>
    <s v="Female"/>
    <x v="3"/>
    <x v="1"/>
    <x v="9"/>
    <n v="5"/>
    <n v="999"/>
    <n v="4995"/>
    <x v="1"/>
    <x v="2"/>
  </r>
  <r>
    <d v="2024-06-26T00:00:00"/>
    <s v="INV9445"/>
    <s v="Cust_310"/>
    <s v="Female"/>
    <x v="2"/>
    <x v="3"/>
    <x v="12"/>
    <n v="14"/>
    <n v="1624"/>
    <n v="22736"/>
    <x v="1"/>
    <x v="2"/>
  </r>
  <r>
    <d v="2024-05-31T00:00:00"/>
    <s v="INV9464"/>
    <s v="Cust_7"/>
    <s v="N/A"/>
    <x v="4"/>
    <x v="2"/>
    <x v="4"/>
    <n v="46"/>
    <n v="499"/>
    <n v="22954"/>
    <x v="1"/>
    <x v="1"/>
  </r>
  <r>
    <d v="2024-02-22T00:00:00"/>
    <s v="INV9479"/>
    <s v="Cust_195"/>
    <s v="Male"/>
    <x v="1"/>
    <x v="0"/>
    <x v="17"/>
    <n v="42"/>
    <n v="1878"/>
    <n v="78876"/>
    <x v="0"/>
    <x v="4"/>
  </r>
  <r>
    <d v="2024-04-06T00:00:00"/>
    <s v="INV9486"/>
    <s v="Cust_156"/>
    <s v="Male"/>
    <x v="2"/>
    <x v="3"/>
    <x v="12"/>
    <n v="24"/>
    <n v="999"/>
    <n v="23976"/>
    <x v="0"/>
    <x v="1"/>
  </r>
  <r>
    <d v="2024-02-12T00:00:00"/>
    <s v="INV9494"/>
    <s v="Cust_7"/>
    <s v="Male"/>
    <x v="3"/>
    <x v="4"/>
    <x v="6"/>
    <n v="31"/>
    <n v="999"/>
    <n v="30969"/>
    <x v="2"/>
    <x v="1"/>
  </r>
  <r>
    <d v="2024-05-01T00:00:00"/>
    <s v="INV9502"/>
    <s v="Cust_126"/>
    <s v="Male"/>
    <x v="3"/>
    <x v="4"/>
    <x v="11"/>
    <n v="32"/>
    <n v="2499"/>
    <n v="79968"/>
    <x v="1"/>
    <x v="2"/>
  </r>
  <r>
    <d v="2024-11-12T00:00:00"/>
    <s v="INV9518"/>
    <s v="Cust_264"/>
    <s v="Male"/>
    <x v="2"/>
    <x v="0"/>
    <x v="16"/>
    <n v="7"/>
    <n v="1999"/>
    <n v="13993"/>
    <x v="1"/>
    <x v="1"/>
  </r>
  <r>
    <d v="2024-12-29T00:00:00"/>
    <s v="INV9540"/>
    <s v="Cust_311"/>
    <s v="N/A"/>
    <x v="3"/>
    <x v="1"/>
    <x v="10"/>
    <n v="9"/>
    <n v="999"/>
    <n v="8991"/>
    <x v="1"/>
    <x v="1"/>
  </r>
  <r>
    <d v="2024-10-10T00:00:00"/>
    <s v="INV9548"/>
    <s v="Cust_1"/>
    <s v="Female"/>
    <x v="1"/>
    <x v="3"/>
    <x v="3"/>
    <n v="27"/>
    <n v="1624"/>
    <n v="43848"/>
    <x v="0"/>
    <x v="1"/>
  </r>
  <r>
    <d v="2024-10-20T00:00:00"/>
    <s v="INV9561"/>
    <s v="Cust_294"/>
    <s v="Female"/>
    <x v="3"/>
    <x v="4"/>
    <x v="14"/>
    <n v="1"/>
    <n v="1499"/>
    <n v="1499"/>
    <x v="3"/>
    <x v="1"/>
  </r>
  <r>
    <d v="2024-04-04T00:00:00"/>
    <s v="INV9565"/>
    <s v="Cust_197"/>
    <s v="Female"/>
    <x v="3"/>
    <x v="0"/>
    <x v="0"/>
    <n v="7"/>
    <n v="199"/>
    <n v="1393"/>
    <x v="0"/>
    <x v="1"/>
  </r>
  <r>
    <d v="2024-07-10T00:00:00"/>
    <s v="INV9595"/>
    <s v="Cust_345"/>
    <s v="Female"/>
    <x v="2"/>
    <x v="2"/>
    <x v="2"/>
    <n v="39"/>
    <n v="3499"/>
    <n v="136461"/>
    <x v="3"/>
    <x v="1"/>
  </r>
  <r>
    <d v="2024-05-15T00:00:00"/>
    <s v="INV9617"/>
    <s v="Cust_270"/>
    <s v="N/A"/>
    <x v="3"/>
    <x v="2"/>
    <x v="7"/>
    <n v="5"/>
    <n v="2999"/>
    <n v="14995"/>
    <x v="1"/>
    <x v="3"/>
  </r>
  <r>
    <d v="2024-02-17T00:00:00"/>
    <s v="INV9645"/>
    <s v="Cust_229"/>
    <s v="Female"/>
    <x v="4"/>
    <x v="3"/>
    <x v="5"/>
    <n v="35"/>
    <n v="1624"/>
    <n v="56840"/>
    <x v="0"/>
    <x v="0"/>
  </r>
  <r>
    <d v="2024-02-06T00:00:00"/>
    <s v="INV9666"/>
    <s v="Cust_87"/>
    <s v="Male"/>
    <x v="3"/>
    <x v="4"/>
    <x v="13"/>
    <n v="14"/>
    <n v="199"/>
    <n v="2786"/>
    <x v="0"/>
    <x v="2"/>
  </r>
  <r>
    <d v="2024-12-21T00:00:00"/>
    <s v="INV9689"/>
    <s v="Cust_160"/>
    <s v="N/A"/>
    <x v="2"/>
    <x v="3"/>
    <x v="5"/>
    <n v="1"/>
    <n v="1499"/>
    <n v="1499"/>
    <x v="2"/>
    <x v="1"/>
  </r>
  <r>
    <d v="2024-07-10T00:00:00"/>
    <s v="INV9697"/>
    <s v="Cust_324"/>
    <s v="N/A"/>
    <x v="4"/>
    <x v="4"/>
    <x v="11"/>
    <n v="33"/>
    <n v="2499"/>
    <n v="82467"/>
    <x v="2"/>
    <x v="0"/>
  </r>
  <r>
    <d v="2024-04-15T00:00:00"/>
    <s v="INV9698"/>
    <s v="Cust_339"/>
    <s v="N/A"/>
    <x v="2"/>
    <x v="2"/>
    <x v="2"/>
    <n v="37"/>
    <n v="1499"/>
    <n v="55463"/>
    <x v="0"/>
    <x v="0"/>
  </r>
  <r>
    <d v="2024-03-24T00:00:00"/>
    <s v="INV9701"/>
    <s v="Cust_349"/>
    <s v="Male"/>
    <x v="1"/>
    <x v="0"/>
    <x v="0"/>
    <n v="2"/>
    <n v="1999"/>
    <n v="3998"/>
    <x v="0"/>
    <x v="2"/>
  </r>
  <r>
    <d v="2024-08-26T00:00:00"/>
    <s v="INV9727"/>
    <s v="Cust_222"/>
    <s v="N/A"/>
    <x v="2"/>
    <x v="1"/>
    <x v="18"/>
    <n v="4"/>
    <n v="1499"/>
    <n v="5996"/>
    <x v="0"/>
    <x v="1"/>
  </r>
  <r>
    <d v="2024-05-07T00:00:00"/>
    <s v="INV9728"/>
    <s v="Cust_298"/>
    <s v="Male"/>
    <x v="0"/>
    <x v="2"/>
    <x v="4"/>
    <n v="0"/>
    <n v="199"/>
    <n v="0"/>
    <x v="2"/>
    <x v="2"/>
  </r>
  <r>
    <d v="2024-04-12T00:00:00"/>
    <s v="INV9742"/>
    <s v="Cust_82"/>
    <s v="Male"/>
    <x v="2"/>
    <x v="2"/>
    <x v="4"/>
    <n v="16"/>
    <n v="499"/>
    <n v="7984"/>
    <x v="0"/>
    <x v="3"/>
  </r>
  <r>
    <d v="2024-02-02T00:00:00"/>
    <s v="INV9779"/>
    <s v="Cust_156"/>
    <s v="Female"/>
    <x v="2"/>
    <x v="4"/>
    <x v="6"/>
    <n v="30"/>
    <n v="2999"/>
    <n v="89970"/>
    <x v="0"/>
    <x v="1"/>
  </r>
  <r>
    <d v="2024-01-10T00:00:00"/>
    <s v="INV9786"/>
    <s v="Cust_113"/>
    <s v="Male"/>
    <x v="3"/>
    <x v="4"/>
    <x v="14"/>
    <n v="2"/>
    <n v="1999"/>
    <n v="3998"/>
    <x v="3"/>
    <x v="0"/>
  </r>
  <r>
    <d v="2024-05-02T00:00:00"/>
    <s v="INV9791"/>
    <s v="Cust_357"/>
    <s v="Male"/>
    <x v="3"/>
    <x v="4"/>
    <x v="13"/>
    <n v="5"/>
    <n v="199"/>
    <n v="995"/>
    <x v="0"/>
    <x v="2"/>
  </r>
  <r>
    <d v="2024-02-03T00:00:00"/>
    <s v="INV9807"/>
    <s v="Cust_229"/>
    <s v="N/A"/>
    <x v="0"/>
    <x v="3"/>
    <x v="5"/>
    <n v="25"/>
    <n v="199"/>
    <n v="4975"/>
    <x v="3"/>
    <x v="2"/>
  </r>
  <r>
    <d v="2024-11-26T00:00:00"/>
    <s v="INV9808"/>
    <s v="Cust_299"/>
    <s v="Male"/>
    <x v="1"/>
    <x v="2"/>
    <x v="2"/>
    <n v="18"/>
    <n v="2499"/>
    <n v="44982"/>
    <x v="0"/>
    <x v="0"/>
  </r>
  <r>
    <d v="2024-04-04T00:00:00"/>
    <s v="INV9817"/>
    <s v="Cust_234"/>
    <s v="N/A"/>
    <x v="1"/>
    <x v="0"/>
    <x v="0"/>
    <n v="25"/>
    <n v="1999"/>
    <n v="49975"/>
    <x v="0"/>
    <x v="4"/>
  </r>
  <r>
    <d v="2024-12-06T00:00:00"/>
    <s v="INV9818"/>
    <s v="Cust_176"/>
    <s v="Male"/>
    <x v="0"/>
    <x v="2"/>
    <x v="19"/>
    <n v="9"/>
    <n v="2999"/>
    <n v="26991"/>
    <x v="0"/>
    <x v="2"/>
  </r>
  <r>
    <d v="2024-02-04T00:00:00"/>
    <s v="INV9821"/>
    <s v="Cust_39"/>
    <s v="Female"/>
    <x v="1"/>
    <x v="2"/>
    <x v="4"/>
    <n v="22"/>
    <n v="999"/>
    <n v="21978"/>
    <x v="0"/>
    <x v="0"/>
  </r>
  <r>
    <d v="2024-11-26T00:00:00"/>
    <s v="INV9824"/>
    <s v="Cust_27"/>
    <s v="N/A"/>
    <x v="1"/>
    <x v="1"/>
    <x v="1"/>
    <n v="43"/>
    <n v="2999"/>
    <n v="128957"/>
    <x v="0"/>
    <x v="4"/>
  </r>
  <r>
    <d v="2024-03-13T00:00:00"/>
    <s v="INV9830"/>
    <s v="Cust_145"/>
    <s v="Female"/>
    <x v="4"/>
    <x v="3"/>
    <x v="5"/>
    <n v="40"/>
    <n v="499"/>
    <n v="19960"/>
    <x v="0"/>
    <x v="1"/>
  </r>
  <r>
    <d v="2024-08-09T00:00:00"/>
    <s v="INV9834"/>
    <s v="Cust_255"/>
    <s v="Female"/>
    <x v="4"/>
    <x v="4"/>
    <x v="14"/>
    <n v="10"/>
    <n v="3499"/>
    <n v="34990"/>
    <x v="2"/>
    <x v="0"/>
  </r>
  <r>
    <d v="2024-10-20T00:00:00"/>
    <s v="INV9847"/>
    <s v="Cust_371"/>
    <s v="Female"/>
    <x v="1"/>
    <x v="3"/>
    <x v="5"/>
    <n v="3"/>
    <n v="2499"/>
    <n v="7497"/>
    <x v="0"/>
    <x v="2"/>
  </r>
  <r>
    <d v="2024-08-07T00:00:00"/>
    <s v="INV9849"/>
    <s v="Cust_391"/>
    <s v="Male"/>
    <x v="1"/>
    <x v="1"/>
    <x v="10"/>
    <n v="22"/>
    <n v="499"/>
    <n v="10978"/>
    <x v="0"/>
    <x v="2"/>
  </r>
  <r>
    <d v="2024-02-13T00:00:00"/>
    <s v="INV9850"/>
    <s v="Cust_2"/>
    <s v="Male"/>
    <x v="1"/>
    <x v="2"/>
    <x v="7"/>
    <n v="1"/>
    <n v="1499"/>
    <n v="1499"/>
    <x v="0"/>
    <x v="0"/>
  </r>
  <r>
    <d v="2024-08-27T00:00:00"/>
    <s v="INV9856"/>
    <s v="Cust_77"/>
    <s v="N/A"/>
    <x v="0"/>
    <x v="1"/>
    <x v="9"/>
    <n v="24"/>
    <n v="1999"/>
    <n v="47976"/>
    <x v="0"/>
    <x v="1"/>
  </r>
  <r>
    <d v="2024-05-16T00:00:00"/>
    <s v="INV9864"/>
    <s v="Cust_335"/>
    <s v="Female"/>
    <x v="3"/>
    <x v="4"/>
    <x v="13"/>
    <n v="22"/>
    <n v="499"/>
    <n v="10978"/>
    <x v="0"/>
    <x v="0"/>
  </r>
  <r>
    <d v="2024-01-20T00:00:00"/>
    <s v="INV9883"/>
    <s v="Cust_309"/>
    <s v="Female"/>
    <x v="1"/>
    <x v="4"/>
    <x v="11"/>
    <n v="15"/>
    <n v="1499"/>
    <n v="22485"/>
    <x v="1"/>
    <x v="1"/>
  </r>
  <r>
    <d v="2024-10-30T00:00:00"/>
    <s v="INV9889"/>
    <s v="Cust_29"/>
    <s v="Female"/>
    <x v="1"/>
    <x v="3"/>
    <x v="5"/>
    <n v="0"/>
    <n v="1499"/>
    <n v="0"/>
    <x v="0"/>
    <x v="4"/>
  </r>
  <r>
    <d v="2024-06-28T00:00:00"/>
    <s v="INV9890"/>
    <s v="Cust_73"/>
    <s v="Male"/>
    <x v="1"/>
    <x v="0"/>
    <x v="17"/>
    <n v="20"/>
    <n v="1999"/>
    <n v="39980"/>
    <x v="0"/>
    <x v="1"/>
  </r>
  <r>
    <d v="2024-09-08T00:00:00"/>
    <s v="INV9900"/>
    <s v="Cust_224"/>
    <s v="Female"/>
    <x v="1"/>
    <x v="4"/>
    <x v="14"/>
    <n v="3"/>
    <n v="1749"/>
    <n v="5247"/>
    <x v="1"/>
    <x v="4"/>
  </r>
  <r>
    <d v="2024-04-21T00:00:00"/>
    <s v="INV9903"/>
    <s v="Cust_90"/>
    <s v="Female"/>
    <x v="3"/>
    <x v="3"/>
    <x v="3"/>
    <n v="44"/>
    <n v="2499"/>
    <n v="109956"/>
    <x v="0"/>
    <x v="4"/>
  </r>
  <r>
    <d v="2024-08-22T00:00:00"/>
    <s v="INV9920"/>
    <s v="Cust_264"/>
    <s v="Female"/>
    <x v="2"/>
    <x v="2"/>
    <x v="2"/>
    <n v="15"/>
    <n v="3499"/>
    <n v="52485"/>
    <x v="0"/>
    <x v="2"/>
  </r>
  <r>
    <d v="2024-01-23T00:00:00"/>
    <s v="INV9922"/>
    <s v="Cust_234"/>
    <s v="Male"/>
    <x v="3"/>
    <x v="1"/>
    <x v="18"/>
    <n v="18"/>
    <n v="2999"/>
    <n v="53982"/>
    <x v="0"/>
    <x v="1"/>
  </r>
  <r>
    <d v="2024-08-16T00:00:00"/>
    <s v="INV9928"/>
    <s v="Cust_289"/>
    <s v="Female"/>
    <x v="3"/>
    <x v="0"/>
    <x v="0"/>
    <n v="22"/>
    <n v="199"/>
    <n v="4378"/>
    <x v="0"/>
    <x v="1"/>
  </r>
  <r>
    <d v="2024-01-13T00:00:00"/>
    <s v="INV9935"/>
    <s v="Cust_166"/>
    <s v="Male"/>
    <x v="1"/>
    <x v="4"/>
    <x v="6"/>
    <n v="33"/>
    <n v="999"/>
    <n v="32967"/>
    <x v="1"/>
    <x v="1"/>
  </r>
  <r>
    <d v="2024-09-08T00:00:00"/>
    <s v="INV9938"/>
    <s v="Cust_235"/>
    <s v="N/A"/>
    <x v="3"/>
    <x v="3"/>
    <x v="3"/>
    <n v="19"/>
    <n v="1999"/>
    <n v="37981"/>
    <x v="0"/>
    <x v="0"/>
  </r>
  <r>
    <d v="2024-12-13T00:00:00"/>
    <s v="INV9947"/>
    <s v="Cust_65"/>
    <s v="Male"/>
    <x v="1"/>
    <x v="0"/>
    <x v="0"/>
    <n v="4"/>
    <n v="2999"/>
    <n v="11996"/>
    <x v="0"/>
    <x v="0"/>
  </r>
  <r>
    <d v="2024-07-24T00:00:00"/>
    <s v="INV9955"/>
    <s v="Cust_18"/>
    <s v="N/A"/>
    <x v="3"/>
    <x v="4"/>
    <x v="6"/>
    <n v="35"/>
    <n v="3499"/>
    <n v="122465"/>
    <x v="2"/>
    <x v="2"/>
  </r>
  <r>
    <d v="2024-06-13T00:00:00"/>
    <s v="INV9976"/>
    <s v="Cust_357"/>
    <s v="Male"/>
    <x v="1"/>
    <x v="1"/>
    <x v="10"/>
    <n v="41"/>
    <n v="2499"/>
    <n v="102459"/>
    <x v="0"/>
    <x v="0"/>
  </r>
  <r>
    <d v="2024-11-26T00:00:00"/>
    <s v="INV9977"/>
    <s v="Cust_386"/>
    <s v="Female"/>
    <x v="3"/>
    <x v="1"/>
    <x v="1"/>
    <n v="30"/>
    <n v="2999"/>
    <n v="89970"/>
    <x v="0"/>
    <x v="1"/>
  </r>
  <r>
    <d v="2024-06-16T00:00:00"/>
    <s v="INV9998"/>
    <s v="Cust_349"/>
    <s v="N/A"/>
    <x v="3"/>
    <x v="0"/>
    <x v="8"/>
    <n v="1"/>
    <n v="3499"/>
    <n v="3499"/>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6D02E2-68A5-4792-A124-2142A186712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2:R8" firstHeaderRow="1" firstDataRow="2" firstDataCol="1"/>
  <pivotFields count="12">
    <pivotField numFmtId="14" showAll="0"/>
    <pivotField showAll="0"/>
    <pivotField showAll="0"/>
    <pivotField showAll="0"/>
    <pivotField showAll="0"/>
    <pivotField showAll="0">
      <items count="6">
        <item x="4"/>
        <item x="3"/>
        <item x="0"/>
        <item x="1"/>
        <item x="2"/>
        <item t="default"/>
      </items>
    </pivotField>
    <pivotField showAll="0"/>
    <pivotField dataField="1" showAll="0"/>
    <pivotField numFmtId="164" showAll="0"/>
    <pivotField numFmtId="164" showAll="0"/>
    <pivotField axis="axisRow" showAll="0">
      <items count="5">
        <item x="3"/>
        <item x="0"/>
        <item x="1"/>
        <item x="2"/>
        <item t="default"/>
      </items>
    </pivotField>
    <pivotField axis="axisCol" showAll="0">
      <items count="6">
        <item x="4"/>
        <item x="3"/>
        <item x="1"/>
        <item x="0"/>
        <item x="2"/>
        <item t="default"/>
      </items>
    </pivotField>
  </pivotFields>
  <rowFields count="1">
    <field x="10"/>
  </rowFields>
  <rowItems count="5">
    <i>
      <x/>
    </i>
    <i>
      <x v="1"/>
    </i>
    <i>
      <x v="2"/>
    </i>
    <i>
      <x v="3"/>
    </i>
    <i t="grand">
      <x/>
    </i>
  </rowItems>
  <colFields count="1">
    <field x="11"/>
  </colFields>
  <colItems count="6">
    <i>
      <x/>
    </i>
    <i>
      <x v="1"/>
    </i>
    <i>
      <x v="2"/>
    </i>
    <i>
      <x v="3"/>
    </i>
    <i>
      <x v="4"/>
    </i>
    <i t="grand">
      <x/>
    </i>
  </colItems>
  <dataFields count="1">
    <dataField name="Sum of Units_Sold" fld="7" baseField="0" baseItem="0"/>
  </dataFields>
  <chartFormats count="5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2" format="30" series="1">
      <pivotArea type="data" outline="0" fieldPosition="0">
        <references count="2">
          <reference field="4294967294" count="1" selected="0">
            <x v="0"/>
          </reference>
          <reference field="11" count="1" selected="0">
            <x v="0"/>
          </reference>
        </references>
      </pivotArea>
    </chartFormat>
    <chartFormat chart="2" format="31">
      <pivotArea type="data" outline="0" fieldPosition="0">
        <references count="3">
          <reference field="4294967294" count="1" selected="0">
            <x v="0"/>
          </reference>
          <reference field="10" count="1" selected="0">
            <x v="0"/>
          </reference>
          <reference field="11" count="1" selected="0">
            <x v="0"/>
          </reference>
        </references>
      </pivotArea>
    </chartFormat>
    <chartFormat chart="2" format="32">
      <pivotArea type="data" outline="0" fieldPosition="0">
        <references count="3">
          <reference field="4294967294" count="1" selected="0">
            <x v="0"/>
          </reference>
          <reference field="10" count="1" selected="0">
            <x v="1"/>
          </reference>
          <reference field="11" count="1" selected="0">
            <x v="0"/>
          </reference>
        </references>
      </pivotArea>
    </chartFormat>
    <chartFormat chart="2" format="33">
      <pivotArea type="data" outline="0" fieldPosition="0">
        <references count="3">
          <reference field="4294967294" count="1" selected="0">
            <x v="0"/>
          </reference>
          <reference field="10" count="1" selected="0">
            <x v="2"/>
          </reference>
          <reference field="11" count="1" selected="0">
            <x v="0"/>
          </reference>
        </references>
      </pivotArea>
    </chartFormat>
    <chartFormat chart="2" format="34">
      <pivotArea type="data" outline="0" fieldPosition="0">
        <references count="3">
          <reference field="4294967294" count="1" selected="0">
            <x v="0"/>
          </reference>
          <reference field="10" count="1" selected="0">
            <x v="3"/>
          </reference>
          <reference field="11" count="1" selected="0">
            <x v="0"/>
          </reference>
        </references>
      </pivotArea>
    </chartFormat>
    <chartFormat chart="2" format="35" series="1">
      <pivotArea type="data" outline="0" fieldPosition="0">
        <references count="2">
          <reference field="4294967294" count="1" selected="0">
            <x v="0"/>
          </reference>
          <reference field="11" count="1" selected="0">
            <x v="1"/>
          </reference>
        </references>
      </pivotArea>
    </chartFormat>
    <chartFormat chart="2" format="36">
      <pivotArea type="data" outline="0" fieldPosition="0">
        <references count="3">
          <reference field="4294967294" count="1" selected="0">
            <x v="0"/>
          </reference>
          <reference field="10" count="1" selected="0">
            <x v="0"/>
          </reference>
          <reference field="11" count="1" selected="0">
            <x v="1"/>
          </reference>
        </references>
      </pivotArea>
    </chartFormat>
    <chartFormat chart="2" format="37">
      <pivotArea type="data" outline="0" fieldPosition="0">
        <references count="3">
          <reference field="4294967294" count="1" selected="0">
            <x v="0"/>
          </reference>
          <reference field="10" count="1" selected="0">
            <x v="1"/>
          </reference>
          <reference field="11" count="1" selected="0">
            <x v="1"/>
          </reference>
        </references>
      </pivotArea>
    </chartFormat>
    <chartFormat chart="2" format="38">
      <pivotArea type="data" outline="0" fieldPosition="0">
        <references count="3">
          <reference field="4294967294" count="1" selected="0">
            <x v="0"/>
          </reference>
          <reference field="10" count="1" selected="0">
            <x v="2"/>
          </reference>
          <reference field="11" count="1" selected="0">
            <x v="1"/>
          </reference>
        </references>
      </pivotArea>
    </chartFormat>
    <chartFormat chart="2" format="39">
      <pivotArea type="data" outline="0" fieldPosition="0">
        <references count="3">
          <reference field="4294967294" count="1" selected="0">
            <x v="0"/>
          </reference>
          <reference field="10" count="1" selected="0">
            <x v="3"/>
          </reference>
          <reference field="11" count="1" selected="0">
            <x v="1"/>
          </reference>
        </references>
      </pivotArea>
    </chartFormat>
    <chartFormat chart="2" format="40" series="1">
      <pivotArea type="data" outline="0" fieldPosition="0">
        <references count="2">
          <reference field="4294967294" count="1" selected="0">
            <x v="0"/>
          </reference>
          <reference field="11" count="1" selected="0">
            <x v="2"/>
          </reference>
        </references>
      </pivotArea>
    </chartFormat>
    <chartFormat chart="2" format="41">
      <pivotArea type="data" outline="0" fieldPosition="0">
        <references count="3">
          <reference field="4294967294" count="1" selected="0">
            <x v="0"/>
          </reference>
          <reference field="10" count="1" selected="0">
            <x v="0"/>
          </reference>
          <reference field="11" count="1" selected="0">
            <x v="2"/>
          </reference>
        </references>
      </pivotArea>
    </chartFormat>
    <chartFormat chart="2" format="42">
      <pivotArea type="data" outline="0" fieldPosition="0">
        <references count="3">
          <reference field="4294967294" count="1" selected="0">
            <x v="0"/>
          </reference>
          <reference field="10" count="1" selected="0">
            <x v="1"/>
          </reference>
          <reference field="11" count="1" selected="0">
            <x v="2"/>
          </reference>
        </references>
      </pivotArea>
    </chartFormat>
    <chartFormat chart="2" format="43">
      <pivotArea type="data" outline="0" fieldPosition="0">
        <references count="3">
          <reference field="4294967294" count="1" selected="0">
            <x v="0"/>
          </reference>
          <reference field="10" count="1" selected="0">
            <x v="2"/>
          </reference>
          <reference field="11" count="1" selected="0">
            <x v="2"/>
          </reference>
        </references>
      </pivotArea>
    </chartFormat>
    <chartFormat chart="2" format="44">
      <pivotArea type="data" outline="0" fieldPosition="0">
        <references count="3">
          <reference field="4294967294" count="1" selected="0">
            <x v="0"/>
          </reference>
          <reference field="10" count="1" selected="0">
            <x v="3"/>
          </reference>
          <reference field="11" count="1" selected="0">
            <x v="2"/>
          </reference>
        </references>
      </pivotArea>
    </chartFormat>
    <chartFormat chart="2" format="45" series="1">
      <pivotArea type="data" outline="0" fieldPosition="0">
        <references count="2">
          <reference field="4294967294" count="1" selected="0">
            <x v="0"/>
          </reference>
          <reference field="11" count="1" selected="0">
            <x v="3"/>
          </reference>
        </references>
      </pivotArea>
    </chartFormat>
    <chartFormat chart="2" format="46">
      <pivotArea type="data" outline="0" fieldPosition="0">
        <references count="3">
          <reference field="4294967294" count="1" selected="0">
            <x v="0"/>
          </reference>
          <reference field="10" count="1" selected="0">
            <x v="0"/>
          </reference>
          <reference field="11" count="1" selected="0">
            <x v="3"/>
          </reference>
        </references>
      </pivotArea>
    </chartFormat>
    <chartFormat chart="2" format="47">
      <pivotArea type="data" outline="0" fieldPosition="0">
        <references count="3">
          <reference field="4294967294" count="1" selected="0">
            <x v="0"/>
          </reference>
          <reference field="10" count="1" selected="0">
            <x v="1"/>
          </reference>
          <reference field="11" count="1" selected="0">
            <x v="3"/>
          </reference>
        </references>
      </pivotArea>
    </chartFormat>
    <chartFormat chart="2" format="48">
      <pivotArea type="data" outline="0" fieldPosition="0">
        <references count="3">
          <reference field="4294967294" count="1" selected="0">
            <x v="0"/>
          </reference>
          <reference field="10" count="1" selected="0">
            <x v="2"/>
          </reference>
          <reference field="11" count="1" selected="0">
            <x v="3"/>
          </reference>
        </references>
      </pivotArea>
    </chartFormat>
    <chartFormat chart="2" format="49">
      <pivotArea type="data" outline="0" fieldPosition="0">
        <references count="3">
          <reference field="4294967294" count="1" selected="0">
            <x v="0"/>
          </reference>
          <reference field="10" count="1" selected="0">
            <x v="3"/>
          </reference>
          <reference field="11" count="1" selected="0">
            <x v="3"/>
          </reference>
        </references>
      </pivotArea>
    </chartFormat>
    <chartFormat chart="2" format="50" series="1">
      <pivotArea type="data" outline="0" fieldPosition="0">
        <references count="2">
          <reference field="4294967294" count="1" selected="0">
            <x v="0"/>
          </reference>
          <reference field="11" count="1" selected="0">
            <x v="4"/>
          </reference>
        </references>
      </pivotArea>
    </chartFormat>
    <chartFormat chart="2" format="51">
      <pivotArea type="data" outline="0" fieldPosition="0">
        <references count="3">
          <reference field="4294967294" count="1" selected="0">
            <x v="0"/>
          </reference>
          <reference field="10" count="1" selected="0">
            <x v="0"/>
          </reference>
          <reference field="11" count="1" selected="0">
            <x v="4"/>
          </reference>
        </references>
      </pivotArea>
    </chartFormat>
    <chartFormat chart="2" format="52">
      <pivotArea type="data" outline="0" fieldPosition="0">
        <references count="3">
          <reference field="4294967294" count="1" selected="0">
            <x v="0"/>
          </reference>
          <reference field="10" count="1" selected="0">
            <x v="1"/>
          </reference>
          <reference field="11" count="1" selected="0">
            <x v="4"/>
          </reference>
        </references>
      </pivotArea>
    </chartFormat>
    <chartFormat chart="2" format="53">
      <pivotArea type="data" outline="0" fieldPosition="0">
        <references count="3">
          <reference field="4294967294" count="1" selected="0">
            <x v="0"/>
          </reference>
          <reference field="10" count="1" selected="0">
            <x v="2"/>
          </reference>
          <reference field="11" count="1" selected="0">
            <x v="4"/>
          </reference>
        </references>
      </pivotArea>
    </chartFormat>
    <chartFormat chart="2" format="54">
      <pivotArea type="data" outline="0" fieldPosition="0">
        <references count="3">
          <reference field="4294967294" count="1" selected="0">
            <x v="0"/>
          </reference>
          <reference field="10" count="1" selected="0">
            <x v="3"/>
          </reference>
          <reference field="11" count="1" selected="0">
            <x v="4"/>
          </reference>
        </references>
      </pivotArea>
    </chartFormat>
    <chartFormat chart="0" format="25">
      <pivotArea type="data" outline="0" fieldPosition="0">
        <references count="3">
          <reference field="4294967294" count="1" selected="0">
            <x v="0"/>
          </reference>
          <reference field="10" count="1" selected="0">
            <x v="0"/>
          </reference>
          <reference field="11" count="1" selected="0">
            <x v="0"/>
          </reference>
        </references>
      </pivotArea>
    </chartFormat>
    <chartFormat chart="0" format="26">
      <pivotArea type="data" outline="0" fieldPosition="0">
        <references count="3">
          <reference field="4294967294" count="1" selected="0">
            <x v="0"/>
          </reference>
          <reference field="10" count="1" selected="0">
            <x v="1"/>
          </reference>
          <reference field="11" count="1" selected="0">
            <x v="0"/>
          </reference>
        </references>
      </pivotArea>
    </chartFormat>
    <chartFormat chart="0" format="27">
      <pivotArea type="data" outline="0" fieldPosition="0">
        <references count="3">
          <reference field="4294967294" count="1" selected="0">
            <x v="0"/>
          </reference>
          <reference field="10" count="1" selected="0">
            <x v="2"/>
          </reference>
          <reference field="11" count="1" selected="0">
            <x v="0"/>
          </reference>
        </references>
      </pivotArea>
    </chartFormat>
    <chartFormat chart="0" format="28">
      <pivotArea type="data" outline="0" fieldPosition="0">
        <references count="3">
          <reference field="4294967294" count="1" selected="0">
            <x v="0"/>
          </reference>
          <reference field="10" count="1" selected="0">
            <x v="3"/>
          </reference>
          <reference field="11" count="1" selected="0">
            <x v="0"/>
          </reference>
        </references>
      </pivotArea>
    </chartFormat>
    <chartFormat chart="0" format="29">
      <pivotArea type="data" outline="0" fieldPosition="0">
        <references count="3">
          <reference field="4294967294" count="1" selected="0">
            <x v="0"/>
          </reference>
          <reference field="10" count="1" selected="0">
            <x v="0"/>
          </reference>
          <reference field="11" count="1" selected="0">
            <x v="1"/>
          </reference>
        </references>
      </pivotArea>
    </chartFormat>
    <chartFormat chart="0" format="30">
      <pivotArea type="data" outline="0" fieldPosition="0">
        <references count="3">
          <reference field="4294967294" count="1" selected="0">
            <x v="0"/>
          </reference>
          <reference field="10" count="1" selected="0">
            <x v="1"/>
          </reference>
          <reference field="11" count="1" selected="0">
            <x v="1"/>
          </reference>
        </references>
      </pivotArea>
    </chartFormat>
    <chartFormat chart="0" format="31">
      <pivotArea type="data" outline="0" fieldPosition="0">
        <references count="3">
          <reference field="4294967294" count="1" selected="0">
            <x v="0"/>
          </reference>
          <reference field="10" count="1" selected="0">
            <x v="2"/>
          </reference>
          <reference field="11" count="1" selected="0">
            <x v="1"/>
          </reference>
        </references>
      </pivotArea>
    </chartFormat>
    <chartFormat chart="0" format="32">
      <pivotArea type="data" outline="0" fieldPosition="0">
        <references count="3">
          <reference field="4294967294" count="1" selected="0">
            <x v="0"/>
          </reference>
          <reference field="10" count="1" selected="0">
            <x v="3"/>
          </reference>
          <reference field="11" count="1" selected="0">
            <x v="1"/>
          </reference>
        </references>
      </pivotArea>
    </chartFormat>
    <chartFormat chart="0" format="33">
      <pivotArea type="data" outline="0" fieldPosition="0">
        <references count="3">
          <reference field="4294967294" count="1" selected="0">
            <x v="0"/>
          </reference>
          <reference field="10" count="1" selected="0">
            <x v="0"/>
          </reference>
          <reference field="11" count="1" selected="0">
            <x v="2"/>
          </reference>
        </references>
      </pivotArea>
    </chartFormat>
    <chartFormat chart="0" format="34">
      <pivotArea type="data" outline="0" fieldPosition="0">
        <references count="3">
          <reference field="4294967294" count="1" selected="0">
            <x v="0"/>
          </reference>
          <reference field="10" count="1" selected="0">
            <x v="1"/>
          </reference>
          <reference field="11" count="1" selected="0">
            <x v="2"/>
          </reference>
        </references>
      </pivotArea>
    </chartFormat>
    <chartFormat chart="0" format="35">
      <pivotArea type="data" outline="0" fieldPosition="0">
        <references count="3">
          <reference field="4294967294" count="1" selected="0">
            <x v="0"/>
          </reference>
          <reference field="10" count="1" selected="0">
            <x v="2"/>
          </reference>
          <reference field="11" count="1" selected="0">
            <x v="2"/>
          </reference>
        </references>
      </pivotArea>
    </chartFormat>
    <chartFormat chart="0" format="36">
      <pivotArea type="data" outline="0" fieldPosition="0">
        <references count="3">
          <reference field="4294967294" count="1" selected="0">
            <x v="0"/>
          </reference>
          <reference field="10" count="1" selected="0">
            <x v="3"/>
          </reference>
          <reference field="11" count="1" selected="0">
            <x v="2"/>
          </reference>
        </references>
      </pivotArea>
    </chartFormat>
    <chartFormat chart="0" format="37">
      <pivotArea type="data" outline="0" fieldPosition="0">
        <references count="3">
          <reference field="4294967294" count="1" selected="0">
            <x v="0"/>
          </reference>
          <reference field="10" count="1" selected="0">
            <x v="0"/>
          </reference>
          <reference field="11" count="1" selected="0">
            <x v="3"/>
          </reference>
        </references>
      </pivotArea>
    </chartFormat>
    <chartFormat chart="0" format="38">
      <pivotArea type="data" outline="0" fieldPosition="0">
        <references count="3">
          <reference field="4294967294" count="1" selected="0">
            <x v="0"/>
          </reference>
          <reference field="10" count="1" selected="0">
            <x v="1"/>
          </reference>
          <reference field="11" count="1" selected="0">
            <x v="3"/>
          </reference>
        </references>
      </pivotArea>
    </chartFormat>
    <chartFormat chart="0" format="39">
      <pivotArea type="data" outline="0" fieldPosition="0">
        <references count="3">
          <reference field="4294967294" count="1" selected="0">
            <x v="0"/>
          </reference>
          <reference field="10" count="1" selected="0">
            <x v="2"/>
          </reference>
          <reference field="11" count="1" selected="0">
            <x v="3"/>
          </reference>
        </references>
      </pivotArea>
    </chartFormat>
    <chartFormat chart="0" format="40">
      <pivotArea type="data" outline="0" fieldPosition="0">
        <references count="3">
          <reference field="4294967294" count="1" selected="0">
            <x v="0"/>
          </reference>
          <reference field="10" count="1" selected="0">
            <x v="3"/>
          </reference>
          <reference field="11" count="1" selected="0">
            <x v="3"/>
          </reference>
        </references>
      </pivotArea>
    </chartFormat>
    <chartFormat chart="0" format="41">
      <pivotArea type="data" outline="0" fieldPosition="0">
        <references count="3">
          <reference field="4294967294" count="1" selected="0">
            <x v="0"/>
          </reference>
          <reference field="10" count="1" selected="0">
            <x v="0"/>
          </reference>
          <reference field="11" count="1" selected="0">
            <x v="4"/>
          </reference>
        </references>
      </pivotArea>
    </chartFormat>
    <chartFormat chart="0" format="42">
      <pivotArea type="data" outline="0" fieldPosition="0">
        <references count="3">
          <reference field="4294967294" count="1" selected="0">
            <x v="0"/>
          </reference>
          <reference field="10" count="1" selected="0">
            <x v="1"/>
          </reference>
          <reference field="11" count="1" selected="0">
            <x v="4"/>
          </reference>
        </references>
      </pivotArea>
    </chartFormat>
    <chartFormat chart="0" format="43">
      <pivotArea type="data" outline="0" fieldPosition="0">
        <references count="3">
          <reference field="4294967294" count="1" selected="0">
            <x v="0"/>
          </reference>
          <reference field="10" count="1" selected="0">
            <x v="2"/>
          </reference>
          <reference field="11" count="1" selected="0">
            <x v="4"/>
          </reference>
        </references>
      </pivotArea>
    </chartFormat>
    <chartFormat chart="0" format="44">
      <pivotArea type="data" outline="0" fieldPosition="0">
        <references count="3">
          <reference field="4294967294" count="1" selected="0">
            <x v="0"/>
          </reference>
          <reference field="10" count="1" selected="0">
            <x v="3"/>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2683EE-1378-42CB-B7F7-80D2AE59AC3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G25" firstHeaderRow="1" firstDataRow="2" firstDataCol="1"/>
  <pivotFields count="12">
    <pivotField numFmtId="14" showAll="0"/>
    <pivotField showAll="0"/>
    <pivotField showAll="0"/>
    <pivotField showAll="0"/>
    <pivotField axis="axisRow" showAll="0">
      <items count="6">
        <item x="3"/>
        <item x="2"/>
        <item x="1"/>
        <item x="0"/>
        <item x="4"/>
        <item t="default"/>
      </items>
    </pivotField>
    <pivotField axis="axisCol" showAll="0">
      <items count="6">
        <item x="4"/>
        <item x="3"/>
        <item x="0"/>
        <item x="1"/>
        <item x="2"/>
        <item t="default"/>
      </items>
    </pivotField>
    <pivotField showAll="0"/>
    <pivotField dataField="1" showAll="0"/>
    <pivotField numFmtId="164" showAll="0"/>
    <pivotField numFmtId="164" showAll="0"/>
    <pivotField showAll="0">
      <items count="5">
        <item x="3"/>
        <item x="0"/>
        <item x="1"/>
        <item x="2"/>
        <item t="default"/>
      </items>
    </pivotField>
    <pivotField showAll="0"/>
  </pivotFields>
  <rowFields count="1">
    <field x="4"/>
  </rowFields>
  <rowItems count="6">
    <i>
      <x/>
    </i>
    <i>
      <x v="1"/>
    </i>
    <i>
      <x v="2"/>
    </i>
    <i>
      <x v="3"/>
    </i>
    <i>
      <x v="4"/>
    </i>
    <i t="grand">
      <x/>
    </i>
  </rowItems>
  <colFields count="1">
    <field x="5"/>
  </colFields>
  <colItems count="6">
    <i>
      <x/>
    </i>
    <i>
      <x v="1"/>
    </i>
    <i>
      <x v="2"/>
    </i>
    <i>
      <x v="3"/>
    </i>
    <i>
      <x v="4"/>
    </i>
    <i t="grand">
      <x/>
    </i>
  </colItems>
  <dataFields count="1">
    <dataField name="Sum of Units_Sold" fld="7" baseField="4" baseItem="2"/>
  </dataFields>
  <chartFormats count="2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5" count="1" selected="0">
            <x v="4"/>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2" format="16" series="1">
      <pivotArea type="data" outline="0" fieldPosition="0">
        <references count="2">
          <reference field="4294967294" count="1" selected="0">
            <x v="0"/>
          </reference>
          <reference field="4" count="1" selected="0">
            <x v="1"/>
          </reference>
        </references>
      </pivotArea>
    </chartFormat>
    <chartFormat chart="2" format="17" series="1">
      <pivotArea type="data" outline="0" fieldPosition="0">
        <references count="2">
          <reference field="4294967294" count="1" selected="0">
            <x v="0"/>
          </reference>
          <reference field="4" count="1" selected="0">
            <x v="2"/>
          </reference>
        </references>
      </pivotArea>
    </chartFormat>
    <chartFormat chart="2" format="18" series="1">
      <pivotArea type="data" outline="0" fieldPosition="0">
        <references count="2">
          <reference field="4294967294" count="1" selected="0">
            <x v="0"/>
          </reference>
          <reference field="4" count="1" selected="0">
            <x v="3"/>
          </reference>
        </references>
      </pivotArea>
    </chartFormat>
    <chartFormat chart="2" format="19" series="1">
      <pivotArea type="data" outline="0" fieldPosition="0">
        <references count="2">
          <reference field="4294967294" count="1" selected="0">
            <x v="0"/>
          </reference>
          <reference field="4" count="1" selected="0">
            <x v="4"/>
          </reference>
        </references>
      </pivotArea>
    </chartFormat>
    <chartFormat chart="0" format="6" series="1">
      <pivotArea type="data" outline="0" fieldPosition="0">
        <references count="2">
          <reference field="4294967294" count="1" selected="0">
            <x v="0"/>
          </reference>
          <reference field="4" count="1" selected="0">
            <x v="1"/>
          </reference>
        </references>
      </pivotArea>
    </chartFormat>
    <chartFormat chart="0" format="7" series="1">
      <pivotArea type="data" outline="0" fieldPosition="0">
        <references count="2">
          <reference field="4294967294" count="1" selected="0">
            <x v="0"/>
          </reference>
          <reference field="4" count="1" selected="0">
            <x v="2"/>
          </reference>
        </references>
      </pivotArea>
    </chartFormat>
    <chartFormat chart="0" format="8" series="1">
      <pivotArea type="data" outline="0" fieldPosition="0">
        <references count="2">
          <reference field="4294967294" count="1" selected="0">
            <x v="0"/>
          </reference>
          <reference field="4" count="1" selected="0">
            <x v="3"/>
          </reference>
        </references>
      </pivotArea>
    </chartFormat>
    <chartFormat chart="0" format="9"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4FF12-7BC4-460B-ADB2-EB830073E5E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2">
    <pivotField numFmtId="14" showAll="0"/>
    <pivotField showAll="0"/>
    <pivotField showAll="0"/>
    <pivotField showAll="0"/>
    <pivotField showAll="0"/>
    <pivotField showAll="0">
      <items count="6">
        <item x="4"/>
        <item x="3"/>
        <item x="0"/>
        <item x="1"/>
        <item x="2"/>
        <item t="default"/>
      </items>
    </pivotField>
    <pivotField showAll="0"/>
    <pivotField showAll="0"/>
    <pivotField numFmtId="164" showAll="0"/>
    <pivotField dataField="1" numFmtId="164" showAll="0"/>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5">
    <i>
      <x/>
    </i>
    <i>
      <x v="3"/>
    </i>
    <i>
      <x v="2"/>
    </i>
    <i>
      <x v="1"/>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1F7E6-1441-4855-8ABE-F1A1FE157B8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L32:M53" firstHeaderRow="1" firstDataRow="1" firstDataCol="1"/>
  <pivotFields count="12">
    <pivotField numFmtId="14" showAll="0"/>
    <pivotField showAll="0"/>
    <pivotField showAll="0"/>
    <pivotField showAll="0"/>
    <pivotField showAll="0"/>
    <pivotField showAll="0">
      <items count="6">
        <item x="4"/>
        <item x="3"/>
        <item x="0"/>
        <item x="1"/>
        <item x="2"/>
        <item t="default"/>
      </items>
    </pivotField>
    <pivotField axis="axisRow" showAll="0">
      <items count="21">
        <item x="1"/>
        <item x="18"/>
        <item x="0"/>
        <item x="9"/>
        <item x="12"/>
        <item x="8"/>
        <item x="5"/>
        <item x="16"/>
        <item x="6"/>
        <item x="11"/>
        <item x="4"/>
        <item x="13"/>
        <item x="17"/>
        <item x="7"/>
        <item x="14"/>
        <item x="15"/>
        <item x="19"/>
        <item x="10"/>
        <item x="2"/>
        <item x="3"/>
        <item t="default"/>
      </items>
    </pivotField>
    <pivotField showAll="0"/>
    <pivotField numFmtId="164" showAll="0"/>
    <pivotField dataField="1" numFmtId="164" showAll="0"/>
    <pivotField showAll="0">
      <items count="5">
        <item x="3"/>
        <item x="0"/>
        <item x="1"/>
        <item x="2"/>
        <item t="default"/>
      </items>
    </pivotField>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Total_Sales" fld="9" subtotal="count" baseField="6"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9418CB-C3B5-4017-960B-3F8BB1188C6E}" name="PivotTable6"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3" customListSort="0">
  <location ref="A29:B35" firstHeaderRow="1" firstDataRow="1" firstDataCol="1" rowPageCount="1" colPageCount="1"/>
  <pivotFields count="12">
    <pivotField numFmtId="14" showAll="0"/>
    <pivotField showAll="0"/>
    <pivotField showAll="0"/>
    <pivotField showAll="0"/>
    <pivotField showAll="0"/>
    <pivotField axis="axisRow" showAll="0">
      <items count="6">
        <item sd="0" x="4"/>
        <item sd="0" x="3"/>
        <item sd="0" x="0"/>
        <item sd="0" x="1"/>
        <item sd="0" x="2"/>
        <item t="default"/>
      </items>
    </pivotField>
    <pivotField axis="axisPage" showAll="0">
      <items count="21">
        <item x="1"/>
        <item x="18"/>
        <item x="0"/>
        <item x="9"/>
        <item x="12"/>
        <item x="8"/>
        <item x="5"/>
        <item x="16"/>
        <item x="6"/>
        <item x="11"/>
        <item x="4"/>
        <item x="13"/>
        <item x="17"/>
        <item x="7"/>
        <item x="14"/>
        <item x="15"/>
        <item x="19"/>
        <item x="10"/>
        <item x="2"/>
        <item x="3"/>
        <item t="default"/>
      </items>
    </pivotField>
    <pivotField dataField="1" showAll="0"/>
    <pivotField numFmtId="164" showAll="0"/>
    <pivotField numFmtId="164" showAll="0"/>
    <pivotField showAll="0">
      <items count="5">
        <item x="3"/>
        <item x="0"/>
        <item x="1"/>
        <item x="2"/>
        <item t="default"/>
      </items>
    </pivotField>
    <pivotField showAll="0"/>
  </pivotFields>
  <rowFields count="1">
    <field x="5"/>
  </rowFields>
  <rowItems count="6">
    <i>
      <x/>
    </i>
    <i>
      <x v="1"/>
    </i>
    <i>
      <x v="2"/>
    </i>
    <i>
      <x v="3"/>
    </i>
    <i>
      <x v="4"/>
    </i>
    <i t="grand">
      <x/>
    </i>
  </rowItems>
  <colItems count="1">
    <i/>
  </colItems>
  <pageFields count="1">
    <pageField fld="6" hier="-1"/>
  </pageFields>
  <dataFields count="1">
    <dataField name="Count of Units_Sold" fld="7"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2"/>
          </reference>
        </references>
      </pivotArea>
    </chartFormat>
    <chartFormat chart="2" format="5" series="1">
      <pivotArea type="data" outline="0" fieldPosition="0">
        <references count="2">
          <reference field="4294967294" count="1" selected="0">
            <x v="0"/>
          </reference>
          <reference field="5" count="1" selected="0">
            <x v="3"/>
          </reference>
        </references>
      </pivotArea>
    </chartFormat>
    <chartFormat chart="2" format="6" series="1">
      <pivotArea type="data" outline="0" fieldPosition="0">
        <references count="2">
          <reference field="4294967294" count="1" selected="0">
            <x v="0"/>
          </reference>
          <reference field="5" count="1" selected="0">
            <x v="4"/>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D06F6FC-3B3F-4322-8B4A-3CEE3592CD74}" sourceName="Region">
  <pivotTables>
    <pivotTable tabId="14" name="PivotTable3"/>
    <pivotTable tabId="14" name="PivotTable7"/>
    <pivotTable tabId="14" name="PivotTable1"/>
    <pivotTable tabId="14" name="PivotTable5"/>
    <pivotTable tabId="14" name="PivotTable6"/>
  </pivotTables>
  <data>
    <tabular pivotCacheId="192355089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1768F6A7-04B5-42A9-BDEA-2D4FFE2D8AD9}" sourceName="Product_Category">
  <pivotTables>
    <pivotTable tabId="14" name="PivotTable3"/>
    <pivotTable tabId="14" name="PivotTable7"/>
    <pivotTable tabId="14" name="PivotTable1"/>
    <pivotTable tabId="14" name="PivotTable5"/>
    <pivotTable tabId="14" name="PivotTable6"/>
  </pivotTables>
  <data>
    <tabular pivotCacheId="1923550895">
      <items count="5">
        <i x="4" s="1"/>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5240A1D1-B771-4DA6-887F-62C975F46FBD}" cache="Slicer_Region1" caption="Region" style="SlicerStyleDark1" rowHeight="241300"/>
  <slicer name="Product_Category 2" xr10:uid="{F6D90344-BC8D-4565-8B1C-5B58C006B67E}" cache="Slicer_Product_Category1" caption="Product_Category"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7F19F7B1-DD46-44C8-85EB-5CA1B8ABB26B}" cache="Slicer_Region1" caption="Region" rowHeight="241300"/>
  <slicer name="Product_Category" xr10:uid="{DAEF4555-7F16-41FA-B97A-BCDA36B9E9F6}" cache="Slicer_Product_Category1" caption="Product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27420C-C6C6-4B50-891E-4CC0278D173F}" name="Table13" displayName="Table13" ref="A1:L1013" totalsRowShown="0" headerRowDxfId="6" headerRowBorderDxfId="5" tableBorderDxfId="4">
  <autoFilter ref="A1:L1013" xr:uid="{FF59C420-0665-4A1B-B478-6BEBF58D5D3F}"/>
  <tableColumns count="12">
    <tableColumn id="1" xr3:uid="{166809E5-1B9E-4404-AF6C-5FFA73995FC4}" name="Date" dataDxfId="3"/>
    <tableColumn id="2" xr3:uid="{4C0039F6-4AF5-446B-A3B9-213EFCBF0F5A}" name="Invoice_ID"/>
    <tableColumn id="3" xr3:uid="{5BB270F2-4300-4B46-B361-4B7D64403B28}" name="Customer_Name"/>
    <tableColumn id="4" xr3:uid="{8959FBBF-7BEB-4370-9309-7E06A1C37F34}" name="Gender"/>
    <tableColumn id="5" xr3:uid="{F1CF0A77-3B63-4183-A7D4-EC44897AEA2F}" name="Age_Group"/>
    <tableColumn id="6" xr3:uid="{D2E5BE43-9910-4821-9042-71038EF44202}" name="Product_Category"/>
    <tableColumn id="7" xr3:uid="{3115C0BF-DBB2-4D14-961B-EA8E3A478CC9}" name="Product_Name"/>
    <tableColumn id="8" xr3:uid="{43C6476D-87AF-4F96-AA48-AF92B7AF7BB0}" name="Units_Sold" dataDxfId="2"/>
    <tableColumn id="9" xr3:uid="{6F696AE2-556A-4529-A489-BA989CCA5407}" name="Unit_Price" dataDxfId="1"/>
    <tableColumn id="10" xr3:uid="{DAAC8A0E-7CFE-4C95-83E4-6B9A5AC91959}" name="Total_Sales" dataDxfId="0">
      <calculatedColumnFormula>H2*I2</calculatedColumnFormula>
    </tableColumn>
    <tableColumn id="11" xr3:uid="{7172A8FA-F6C6-4398-8CCA-404A3280E72C}" name="Region"/>
    <tableColumn id="12" xr3:uid="{2D63E2C3-6060-49F4-B8DD-D60BE6E26AF8}" name="Payment_Mod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BA7C-5015-4F36-AD3E-82E15499575D}">
  <sheetPr>
    <tabColor theme="3" tint="0.79998168889431442"/>
  </sheetPr>
  <dimension ref="D8"/>
  <sheetViews>
    <sheetView showGridLines="0" showRowColHeaders="0" tabSelected="1" zoomScaleNormal="100" workbookViewId="0">
      <selection activeCell="X26" sqref="X26"/>
    </sheetView>
  </sheetViews>
  <sheetFormatPr defaultRowHeight="15" x14ac:dyDescent="0.25"/>
  <cols>
    <col min="4" max="4" width="15" bestFit="1" customWidth="1"/>
  </cols>
  <sheetData>
    <row r="8" spans="4:4" x14ac:dyDescent="0.25">
      <c r="D8"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792F-7AA0-4BC4-A825-E381B48E3AE7}">
  <dimension ref="A2:R53"/>
  <sheetViews>
    <sheetView topLeftCell="A18" workbookViewId="0">
      <selection activeCell="B31" sqref="B31"/>
    </sheetView>
  </sheetViews>
  <sheetFormatPr defaultRowHeight="15" x14ac:dyDescent="0.25"/>
  <cols>
    <col min="1" max="1" width="14.28515625" bestFit="1" customWidth="1"/>
    <col min="2" max="2" width="18.85546875" bestFit="1" customWidth="1"/>
    <col min="3" max="3" width="8.42578125" bestFit="1" customWidth="1"/>
    <col min="4" max="4" width="10.5703125" bestFit="1" customWidth="1"/>
    <col min="5" max="5" width="9.28515625" bestFit="1" customWidth="1"/>
    <col min="6" max="6" width="8" bestFit="1" customWidth="1"/>
    <col min="7" max="7" width="11.28515625" bestFit="1" customWidth="1"/>
    <col min="8" max="8" width="5.85546875" bestFit="1" customWidth="1"/>
    <col min="9" max="9" width="7" bestFit="1" customWidth="1"/>
    <col min="10" max="10" width="7.5703125" bestFit="1" customWidth="1"/>
    <col min="11" max="11" width="11.28515625" bestFit="1" customWidth="1"/>
    <col min="12" max="12" width="13.140625" bestFit="1" customWidth="1"/>
    <col min="13" max="13" width="19.28515625" bestFit="1" customWidth="1"/>
    <col min="14" max="14" width="5.140625" bestFit="1" customWidth="1"/>
    <col min="15" max="15" width="10.85546875" bestFit="1" customWidth="1"/>
    <col min="16" max="16" width="11.7109375" bestFit="1" customWidth="1"/>
    <col min="17" max="17" width="5" bestFit="1" customWidth="1"/>
    <col min="18" max="18" width="11.28515625" bestFit="1" customWidth="1"/>
    <col min="19" max="19" width="17.42578125" bestFit="1" customWidth="1"/>
    <col min="20" max="20" width="17.85546875" bestFit="1" customWidth="1"/>
    <col min="21" max="21" width="17.42578125" bestFit="1" customWidth="1"/>
    <col min="22" max="22" width="17.85546875" bestFit="1" customWidth="1"/>
    <col min="23" max="23" width="22.42578125" bestFit="1" customWidth="1"/>
    <col min="24" max="24" width="22.85546875" bestFit="1" customWidth="1"/>
    <col min="25" max="26" width="11.7109375" bestFit="1" customWidth="1"/>
    <col min="27" max="27" width="10.5703125" bestFit="1" customWidth="1"/>
    <col min="28" max="28" width="11.28515625" bestFit="1" customWidth="1"/>
    <col min="29" max="29" width="9" bestFit="1" customWidth="1"/>
    <col min="30" max="30" width="11.28515625" bestFit="1" customWidth="1"/>
  </cols>
  <sheetData>
    <row r="2" spans="1:18" x14ac:dyDescent="0.25">
      <c r="L2" s="6" t="s">
        <v>1388</v>
      </c>
      <c r="M2" s="6" t="s">
        <v>1387</v>
      </c>
    </row>
    <row r="3" spans="1:18" x14ac:dyDescent="0.25">
      <c r="A3" s="6" t="s">
        <v>1385</v>
      </c>
      <c r="B3" t="s">
        <v>1390</v>
      </c>
      <c r="L3" s="6" t="s">
        <v>1385</v>
      </c>
      <c r="M3" t="s">
        <v>1383</v>
      </c>
      <c r="N3" t="s">
        <v>1381</v>
      </c>
      <c r="O3" t="s">
        <v>1380</v>
      </c>
      <c r="P3" t="s">
        <v>1384</v>
      </c>
      <c r="Q3" t="s">
        <v>1382</v>
      </c>
      <c r="R3" t="s">
        <v>1386</v>
      </c>
    </row>
    <row r="4" spans="1:18" x14ac:dyDescent="0.25">
      <c r="A4" s="7" t="s">
        <v>1378</v>
      </c>
      <c r="B4" s="5">
        <v>4609097</v>
      </c>
      <c r="L4" s="7" t="s">
        <v>1378</v>
      </c>
      <c r="M4" s="5">
        <v>255</v>
      </c>
      <c r="N4" s="5">
        <v>221</v>
      </c>
      <c r="O4" s="5">
        <v>620</v>
      </c>
      <c r="P4" s="5">
        <v>537</v>
      </c>
      <c r="Q4" s="5">
        <v>872</v>
      </c>
      <c r="R4" s="5">
        <v>2505</v>
      </c>
    </row>
    <row r="5" spans="1:18" x14ac:dyDescent="0.25">
      <c r="A5" s="7" t="s">
        <v>1376</v>
      </c>
      <c r="B5" s="5">
        <v>4695089</v>
      </c>
      <c r="L5" s="7" t="s">
        <v>1379</v>
      </c>
      <c r="M5" s="5">
        <v>1385</v>
      </c>
      <c r="N5" s="5">
        <v>1092</v>
      </c>
      <c r="O5" s="5">
        <v>2834</v>
      </c>
      <c r="P5" s="5">
        <v>3100</v>
      </c>
      <c r="Q5" s="5">
        <v>3854</v>
      </c>
      <c r="R5" s="5">
        <v>12265</v>
      </c>
    </row>
    <row r="6" spans="1:18" x14ac:dyDescent="0.25">
      <c r="A6" s="7" t="s">
        <v>1377</v>
      </c>
      <c r="B6" s="5">
        <v>8935753</v>
      </c>
      <c r="L6" s="7" t="s">
        <v>1377</v>
      </c>
      <c r="M6" s="5">
        <v>511</v>
      </c>
      <c r="N6" s="5">
        <v>565</v>
      </c>
      <c r="O6" s="5">
        <v>1298</v>
      </c>
      <c r="P6" s="5">
        <v>1047</v>
      </c>
      <c r="Q6" s="5">
        <v>1594</v>
      </c>
      <c r="R6" s="5">
        <v>5015</v>
      </c>
    </row>
    <row r="7" spans="1:18" x14ac:dyDescent="0.25">
      <c r="A7" s="7" t="s">
        <v>1379</v>
      </c>
      <c r="B7" s="5">
        <v>21496732</v>
      </c>
      <c r="L7" s="7" t="s">
        <v>1376</v>
      </c>
      <c r="M7" s="5">
        <v>446</v>
      </c>
      <c r="N7" s="5">
        <v>210</v>
      </c>
      <c r="O7" s="5">
        <v>404</v>
      </c>
      <c r="P7" s="5">
        <v>627</v>
      </c>
      <c r="Q7" s="5">
        <v>980</v>
      </c>
      <c r="R7" s="5">
        <v>2667</v>
      </c>
    </row>
    <row r="8" spans="1:18" x14ac:dyDescent="0.25">
      <c r="A8" s="7" t="s">
        <v>1386</v>
      </c>
      <c r="B8" s="5">
        <v>39736671</v>
      </c>
      <c r="L8" s="7" t="s">
        <v>1386</v>
      </c>
      <c r="M8" s="5">
        <v>2597</v>
      </c>
      <c r="N8" s="5">
        <v>2088</v>
      </c>
      <c r="O8" s="5">
        <v>5156</v>
      </c>
      <c r="P8" s="5">
        <v>5311</v>
      </c>
      <c r="Q8" s="5">
        <v>7300</v>
      </c>
      <c r="R8" s="5">
        <v>22452</v>
      </c>
    </row>
    <row r="18" spans="1:13" x14ac:dyDescent="0.25">
      <c r="A18" s="6" t="s">
        <v>1388</v>
      </c>
      <c r="B18" s="6" t="s">
        <v>1387</v>
      </c>
    </row>
    <row r="19" spans="1:13" x14ac:dyDescent="0.25">
      <c r="A19" s="6" t="s">
        <v>1385</v>
      </c>
      <c r="B19" t="s">
        <v>1354</v>
      </c>
      <c r="C19" t="s">
        <v>1352</v>
      </c>
      <c r="D19" t="s">
        <v>1351</v>
      </c>
      <c r="E19" t="s">
        <v>1355</v>
      </c>
      <c r="F19" t="s">
        <v>1353</v>
      </c>
      <c r="G19" t="s">
        <v>1386</v>
      </c>
    </row>
    <row r="20" spans="1:13" x14ac:dyDescent="0.25">
      <c r="A20" s="7" t="s">
        <v>1349</v>
      </c>
      <c r="B20" s="5">
        <v>1849</v>
      </c>
      <c r="C20" s="5">
        <v>1721</v>
      </c>
      <c r="D20" s="5">
        <v>1433</v>
      </c>
      <c r="E20" s="5">
        <v>1501</v>
      </c>
      <c r="F20" s="5">
        <v>1200</v>
      </c>
      <c r="G20" s="5">
        <v>7704</v>
      </c>
    </row>
    <row r="21" spans="1:13" x14ac:dyDescent="0.25">
      <c r="A21" s="7" t="s">
        <v>1348</v>
      </c>
      <c r="B21" s="5">
        <v>550</v>
      </c>
      <c r="C21" s="5">
        <v>987</v>
      </c>
      <c r="D21" s="5">
        <v>433</v>
      </c>
      <c r="E21" s="5">
        <v>335</v>
      </c>
      <c r="F21" s="5">
        <v>521</v>
      </c>
      <c r="G21" s="5">
        <v>2826</v>
      </c>
    </row>
    <row r="22" spans="1:13" x14ac:dyDescent="0.25">
      <c r="A22" s="7" t="s">
        <v>1347</v>
      </c>
      <c r="B22" s="5">
        <v>1197</v>
      </c>
      <c r="C22" s="5">
        <v>1158</v>
      </c>
      <c r="D22" s="5">
        <v>1582</v>
      </c>
      <c r="E22" s="5">
        <v>1527</v>
      </c>
      <c r="F22" s="5">
        <v>1163</v>
      </c>
      <c r="G22" s="5">
        <v>6627</v>
      </c>
    </row>
    <row r="23" spans="1:13" x14ac:dyDescent="0.25">
      <c r="A23" s="7" t="s">
        <v>1350</v>
      </c>
      <c r="B23" s="5">
        <v>476</v>
      </c>
      <c r="C23" s="5">
        <v>619</v>
      </c>
      <c r="D23" s="5">
        <v>284</v>
      </c>
      <c r="E23" s="5">
        <v>571</v>
      </c>
      <c r="F23" s="5">
        <v>882</v>
      </c>
      <c r="G23" s="5">
        <v>2832</v>
      </c>
    </row>
    <row r="24" spans="1:13" x14ac:dyDescent="0.25">
      <c r="A24" s="7" t="s">
        <v>1346</v>
      </c>
      <c r="B24" s="5">
        <v>593</v>
      </c>
      <c r="C24" s="5">
        <v>600</v>
      </c>
      <c r="D24" s="5">
        <v>438</v>
      </c>
      <c r="E24" s="5">
        <v>362</v>
      </c>
      <c r="F24" s="5">
        <v>470</v>
      </c>
      <c r="G24" s="5">
        <v>2463</v>
      </c>
    </row>
    <row r="25" spans="1:13" x14ac:dyDescent="0.25">
      <c r="A25" s="7" t="s">
        <v>1386</v>
      </c>
      <c r="B25" s="5">
        <v>4665</v>
      </c>
      <c r="C25" s="5">
        <v>5085</v>
      </c>
      <c r="D25" s="5">
        <v>4170</v>
      </c>
      <c r="E25" s="5">
        <v>4296</v>
      </c>
      <c r="F25" s="5">
        <v>4236</v>
      </c>
      <c r="G25" s="5">
        <v>22452</v>
      </c>
    </row>
    <row r="27" spans="1:13" x14ac:dyDescent="0.25">
      <c r="A27" s="6" t="s">
        <v>6</v>
      </c>
      <c r="B27" t="s">
        <v>1396</v>
      </c>
    </row>
    <row r="29" spans="1:13" x14ac:dyDescent="0.25">
      <c r="B29" t="s">
        <v>1391</v>
      </c>
    </row>
    <row r="30" spans="1:13" x14ac:dyDescent="0.25">
      <c r="A30" s="7" t="s">
        <v>1354</v>
      </c>
      <c r="B30" s="5">
        <v>204</v>
      </c>
    </row>
    <row r="31" spans="1:13" x14ac:dyDescent="0.25">
      <c r="A31" s="7" t="s">
        <v>1352</v>
      </c>
      <c r="B31" s="5">
        <v>219</v>
      </c>
    </row>
    <row r="32" spans="1:13" x14ac:dyDescent="0.25">
      <c r="A32" s="7" t="s">
        <v>1351</v>
      </c>
      <c r="B32" s="5">
        <v>193</v>
      </c>
      <c r="L32" s="6" t="s">
        <v>1385</v>
      </c>
      <c r="M32" t="s">
        <v>1395</v>
      </c>
    </row>
    <row r="33" spans="1:13" x14ac:dyDescent="0.25">
      <c r="A33" s="7" t="s">
        <v>1355</v>
      </c>
      <c r="B33" s="5">
        <v>190</v>
      </c>
      <c r="L33" s="7" t="s">
        <v>1374</v>
      </c>
      <c r="M33" s="5">
        <v>44</v>
      </c>
    </row>
    <row r="34" spans="1:13" x14ac:dyDescent="0.25">
      <c r="A34" s="7" t="s">
        <v>1353</v>
      </c>
      <c r="B34" s="5">
        <v>206</v>
      </c>
      <c r="L34" s="7" t="s">
        <v>1360</v>
      </c>
      <c r="M34" s="5">
        <v>55</v>
      </c>
    </row>
    <row r="35" spans="1:13" x14ac:dyDescent="0.25">
      <c r="A35" s="7" t="s">
        <v>1386</v>
      </c>
      <c r="B35" s="5">
        <v>1012</v>
      </c>
      <c r="L35" s="7" t="s">
        <v>1370</v>
      </c>
      <c r="M35" s="5">
        <v>39</v>
      </c>
    </row>
    <row r="36" spans="1:13" x14ac:dyDescent="0.25">
      <c r="L36" s="7" t="s">
        <v>1372</v>
      </c>
      <c r="M36" s="5">
        <v>45</v>
      </c>
    </row>
    <row r="37" spans="1:13" x14ac:dyDescent="0.25">
      <c r="L37" s="7" t="s">
        <v>1375</v>
      </c>
      <c r="M37" s="5">
        <v>45</v>
      </c>
    </row>
    <row r="38" spans="1:13" x14ac:dyDescent="0.25">
      <c r="L38" s="7" t="s">
        <v>1357</v>
      </c>
      <c r="M38" s="5">
        <v>47</v>
      </c>
    </row>
    <row r="39" spans="1:13" x14ac:dyDescent="0.25">
      <c r="L39" s="7" t="s">
        <v>1364</v>
      </c>
      <c r="M39" s="5">
        <v>66</v>
      </c>
    </row>
    <row r="40" spans="1:13" x14ac:dyDescent="0.25">
      <c r="L40" s="7" t="s">
        <v>1356</v>
      </c>
      <c r="M40" s="5">
        <v>54</v>
      </c>
    </row>
    <row r="41" spans="1:13" x14ac:dyDescent="0.25">
      <c r="L41" s="7" t="s">
        <v>1361</v>
      </c>
      <c r="M41" s="5">
        <v>55</v>
      </c>
    </row>
    <row r="42" spans="1:13" x14ac:dyDescent="0.25">
      <c r="L42" s="7" t="s">
        <v>1362</v>
      </c>
      <c r="M42" s="5">
        <v>45</v>
      </c>
    </row>
    <row r="43" spans="1:13" x14ac:dyDescent="0.25">
      <c r="L43" s="7" t="s">
        <v>1359</v>
      </c>
      <c r="M43" s="5">
        <v>57</v>
      </c>
    </row>
    <row r="44" spans="1:13" x14ac:dyDescent="0.25">
      <c r="L44" s="7" t="s">
        <v>1363</v>
      </c>
      <c r="M44" s="5">
        <v>55</v>
      </c>
    </row>
    <row r="45" spans="1:13" x14ac:dyDescent="0.25">
      <c r="L45" s="7" t="s">
        <v>1371</v>
      </c>
      <c r="M45" s="5">
        <v>53</v>
      </c>
    </row>
    <row r="46" spans="1:13" x14ac:dyDescent="0.25">
      <c r="L46" s="7" t="s">
        <v>1365</v>
      </c>
      <c r="M46" s="5">
        <v>43</v>
      </c>
    </row>
    <row r="47" spans="1:13" x14ac:dyDescent="0.25">
      <c r="L47" s="7" t="s">
        <v>1366</v>
      </c>
      <c r="M47" s="5">
        <v>49</v>
      </c>
    </row>
    <row r="48" spans="1:13" x14ac:dyDescent="0.25">
      <c r="L48" s="7" t="s">
        <v>1368</v>
      </c>
      <c r="M48" s="5">
        <v>57</v>
      </c>
    </row>
    <row r="49" spans="12:13" x14ac:dyDescent="0.25">
      <c r="L49" s="7" t="s">
        <v>1369</v>
      </c>
      <c r="M49" s="5">
        <v>57</v>
      </c>
    </row>
    <row r="50" spans="12:13" x14ac:dyDescent="0.25">
      <c r="L50" s="7" t="s">
        <v>1373</v>
      </c>
      <c r="M50" s="5">
        <v>46</v>
      </c>
    </row>
    <row r="51" spans="12:13" x14ac:dyDescent="0.25">
      <c r="L51" s="7" t="s">
        <v>1367</v>
      </c>
      <c r="M51" s="5">
        <v>49</v>
      </c>
    </row>
    <row r="52" spans="12:13" x14ac:dyDescent="0.25">
      <c r="L52" s="7" t="s">
        <v>1358</v>
      </c>
      <c r="M52" s="5">
        <v>51</v>
      </c>
    </row>
    <row r="53" spans="12:13" x14ac:dyDescent="0.25">
      <c r="L53" s="7" t="s">
        <v>1386</v>
      </c>
      <c r="M53" s="5">
        <v>1012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5FA8-7444-42CD-861F-D881D061C38F}">
  <dimension ref="A1:N1013"/>
  <sheetViews>
    <sheetView topLeftCell="B1" workbookViewId="0">
      <selection activeCell="N11" sqref="N11"/>
    </sheetView>
  </sheetViews>
  <sheetFormatPr defaultRowHeight="15" x14ac:dyDescent="0.25"/>
  <cols>
    <col min="1" max="1" width="18.28515625" style="3" bestFit="1" customWidth="1"/>
    <col min="2" max="2" width="12.42578125" customWidth="1"/>
    <col min="3" max="3" width="18" customWidth="1"/>
    <col min="4" max="4" width="9.85546875" customWidth="1"/>
    <col min="5" max="5" width="13.140625" customWidth="1"/>
    <col min="6" max="6" width="18.85546875" customWidth="1"/>
    <col min="7" max="7" width="16.28515625" customWidth="1"/>
    <col min="8" max="8" width="12.7109375" style="5" customWidth="1"/>
    <col min="9" max="9" width="12.42578125" style="9" customWidth="1"/>
    <col min="10" max="10" width="13.140625" style="9" customWidth="1"/>
    <col min="11" max="11" width="9.28515625" customWidth="1"/>
    <col min="12" max="12" width="17.28515625" customWidth="1"/>
    <col min="13" max="13" width="11.85546875" customWidth="1"/>
    <col min="14" max="14" width="15" bestFit="1" customWidth="1"/>
  </cols>
  <sheetData>
    <row r="1" spans="1:14" x14ac:dyDescent="0.25">
      <c r="A1" s="2" t="s">
        <v>0</v>
      </c>
      <c r="B1" s="1" t="s">
        <v>1</v>
      </c>
      <c r="C1" s="1" t="s">
        <v>2</v>
      </c>
      <c r="D1" s="1" t="s">
        <v>3</v>
      </c>
      <c r="E1" s="1" t="s">
        <v>4</v>
      </c>
      <c r="F1" s="1" t="s">
        <v>5</v>
      </c>
      <c r="G1" s="1" t="s">
        <v>6</v>
      </c>
      <c r="H1" s="4" t="s">
        <v>7</v>
      </c>
      <c r="I1" s="8" t="s">
        <v>8</v>
      </c>
      <c r="J1" s="8" t="s">
        <v>9</v>
      </c>
      <c r="K1" s="1" t="s">
        <v>10</v>
      </c>
      <c r="L1" s="1" t="s">
        <v>11</v>
      </c>
    </row>
    <row r="2" spans="1:14" x14ac:dyDescent="0.25">
      <c r="A2" s="3">
        <v>45451</v>
      </c>
      <c r="B2" t="s">
        <v>745</v>
      </c>
      <c r="C2" t="s">
        <v>1030</v>
      </c>
      <c r="D2" t="s">
        <v>1344</v>
      </c>
      <c r="E2" t="s">
        <v>1350</v>
      </c>
      <c r="F2" t="s">
        <v>1351</v>
      </c>
      <c r="G2" t="s">
        <v>1370</v>
      </c>
      <c r="H2" s="5">
        <v>8</v>
      </c>
      <c r="I2" s="9">
        <v>1999</v>
      </c>
      <c r="J2" s="9">
        <f t="shared" ref="J2:J65" si="0">H2*I2</f>
        <v>15992</v>
      </c>
      <c r="K2" t="s">
        <v>1379</v>
      </c>
      <c r="L2" t="s">
        <v>1384</v>
      </c>
    </row>
    <row r="3" spans="1:14" x14ac:dyDescent="0.25">
      <c r="A3" s="3">
        <v>45602</v>
      </c>
      <c r="B3" t="s">
        <v>338</v>
      </c>
      <c r="C3" t="s">
        <v>1190</v>
      </c>
      <c r="D3" t="s">
        <v>1344</v>
      </c>
      <c r="E3" t="s">
        <v>1347</v>
      </c>
      <c r="F3" t="s">
        <v>1355</v>
      </c>
      <c r="G3" t="s">
        <v>1374</v>
      </c>
      <c r="H3" s="5">
        <v>2</v>
      </c>
      <c r="I3" s="9">
        <v>2999</v>
      </c>
      <c r="J3" s="9">
        <f t="shared" si="0"/>
        <v>5998</v>
      </c>
      <c r="K3" t="s">
        <v>1377</v>
      </c>
      <c r="L3" t="s">
        <v>1384</v>
      </c>
    </row>
    <row r="4" spans="1:14" x14ac:dyDescent="0.25">
      <c r="A4" s="3">
        <v>45443</v>
      </c>
      <c r="B4" t="s">
        <v>550</v>
      </c>
      <c r="C4" t="s">
        <v>1152</v>
      </c>
      <c r="D4" t="s">
        <v>1389</v>
      </c>
      <c r="E4" t="s">
        <v>1350</v>
      </c>
      <c r="F4" t="s">
        <v>1353</v>
      </c>
      <c r="G4" t="s">
        <v>1367</v>
      </c>
      <c r="H4" s="5">
        <v>9</v>
      </c>
      <c r="I4" s="9">
        <v>199</v>
      </c>
      <c r="J4" s="9">
        <f t="shared" si="0"/>
        <v>1791</v>
      </c>
      <c r="K4" t="s">
        <v>1377</v>
      </c>
      <c r="L4" t="s">
        <v>1380</v>
      </c>
    </row>
    <row r="5" spans="1:14" x14ac:dyDescent="0.25">
      <c r="A5" s="3">
        <v>45420</v>
      </c>
      <c r="B5" t="s">
        <v>223</v>
      </c>
      <c r="C5" t="s">
        <v>1174</v>
      </c>
      <c r="D5" t="s">
        <v>1389</v>
      </c>
      <c r="E5" t="s">
        <v>1348</v>
      </c>
      <c r="F5" t="s">
        <v>1352</v>
      </c>
      <c r="G5" t="s">
        <v>1358</v>
      </c>
      <c r="H5" s="5">
        <v>3</v>
      </c>
      <c r="I5" s="9">
        <v>3499</v>
      </c>
      <c r="J5" s="9">
        <f t="shared" si="0"/>
        <v>10497</v>
      </c>
      <c r="K5" t="s">
        <v>1377</v>
      </c>
      <c r="L5" t="s">
        <v>1384</v>
      </c>
    </row>
    <row r="6" spans="1:14" x14ac:dyDescent="0.25">
      <c r="A6" s="3">
        <v>45566</v>
      </c>
      <c r="B6" t="s">
        <v>549</v>
      </c>
      <c r="C6" t="s">
        <v>1266</v>
      </c>
      <c r="D6" t="s">
        <v>1345</v>
      </c>
      <c r="E6" t="s">
        <v>1348</v>
      </c>
      <c r="F6" t="s">
        <v>1353</v>
      </c>
      <c r="G6" t="s">
        <v>1359</v>
      </c>
      <c r="H6" s="5">
        <v>37</v>
      </c>
      <c r="I6" s="9">
        <v>2999</v>
      </c>
      <c r="J6" s="9">
        <f t="shared" si="0"/>
        <v>110963</v>
      </c>
      <c r="K6" t="s">
        <v>1379</v>
      </c>
      <c r="L6" t="s">
        <v>1384</v>
      </c>
    </row>
    <row r="7" spans="1:14" x14ac:dyDescent="0.25">
      <c r="A7" s="3">
        <v>45608</v>
      </c>
      <c r="B7" t="s">
        <v>291</v>
      </c>
      <c r="C7" t="s">
        <v>1206</v>
      </c>
      <c r="D7" t="s">
        <v>1389</v>
      </c>
      <c r="E7" t="s">
        <v>1349</v>
      </c>
      <c r="F7" t="s">
        <v>1352</v>
      </c>
      <c r="G7" t="s">
        <v>1364</v>
      </c>
      <c r="H7" s="5">
        <v>4</v>
      </c>
      <c r="I7" s="9">
        <v>999</v>
      </c>
      <c r="J7" s="9">
        <f t="shared" si="0"/>
        <v>3996</v>
      </c>
      <c r="K7" t="s">
        <v>1379</v>
      </c>
      <c r="L7" t="s">
        <v>1382</v>
      </c>
    </row>
    <row r="8" spans="1:14" x14ac:dyDescent="0.25">
      <c r="A8" s="3">
        <v>45417</v>
      </c>
      <c r="B8" t="s">
        <v>73</v>
      </c>
      <c r="C8" t="s">
        <v>1078</v>
      </c>
      <c r="D8" t="s">
        <v>1389</v>
      </c>
      <c r="E8" t="s">
        <v>1347</v>
      </c>
      <c r="F8" t="s">
        <v>1354</v>
      </c>
      <c r="G8" t="s">
        <v>1361</v>
      </c>
      <c r="H8" s="5">
        <v>6</v>
      </c>
      <c r="I8" s="9">
        <v>499</v>
      </c>
      <c r="J8" s="9">
        <f t="shared" si="0"/>
        <v>2994</v>
      </c>
      <c r="K8" t="s">
        <v>1379</v>
      </c>
      <c r="L8" t="s">
        <v>1381</v>
      </c>
    </row>
    <row r="9" spans="1:14" x14ac:dyDescent="0.25">
      <c r="A9" s="3">
        <v>45438</v>
      </c>
      <c r="B9" t="s">
        <v>205</v>
      </c>
      <c r="C9" t="s">
        <v>1162</v>
      </c>
      <c r="D9" t="s">
        <v>1389</v>
      </c>
      <c r="E9" t="s">
        <v>1349</v>
      </c>
      <c r="F9" t="s">
        <v>1354</v>
      </c>
      <c r="G9" t="s">
        <v>1361</v>
      </c>
      <c r="H9" s="5">
        <v>34</v>
      </c>
      <c r="I9" s="9">
        <v>499</v>
      </c>
      <c r="J9" s="9">
        <f t="shared" si="0"/>
        <v>16966</v>
      </c>
      <c r="K9" t="s">
        <v>1379</v>
      </c>
      <c r="L9" t="s">
        <v>1384</v>
      </c>
      <c r="M9" t="s">
        <v>1392</v>
      </c>
      <c r="N9" s="9">
        <f>SUM(Table13[Total_Sales])</f>
        <v>39736671</v>
      </c>
    </row>
    <row r="10" spans="1:14" x14ac:dyDescent="0.25">
      <c r="A10" s="3">
        <v>45617</v>
      </c>
      <c r="B10" t="s">
        <v>656</v>
      </c>
      <c r="C10" t="s">
        <v>1277</v>
      </c>
      <c r="D10" t="s">
        <v>1345</v>
      </c>
      <c r="E10" t="s">
        <v>1349</v>
      </c>
      <c r="F10" t="s">
        <v>1351</v>
      </c>
      <c r="G10" t="s">
        <v>1370</v>
      </c>
      <c r="H10" s="5">
        <v>2</v>
      </c>
      <c r="I10" s="9">
        <v>999</v>
      </c>
      <c r="J10" s="9">
        <f t="shared" si="0"/>
        <v>1998</v>
      </c>
      <c r="K10" t="s">
        <v>1376</v>
      </c>
      <c r="L10" t="s">
        <v>1381</v>
      </c>
      <c r="M10" t="s">
        <v>1393</v>
      </c>
      <c r="N10">
        <f>SUM(Table13[Units_Sold])</f>
        <v>22452</v>
      </c>
    </row>
    <row r="11" spans="1:14" x14ac:dyDescent="0.25">
      <c r="A11" s="3">
        <v>45383</v>
      </c>
      <c r="B11" t="s">
        <v>353</v>
      </c>
      <c r="C11" t="s">
        <v>1229</v>
      </c>
      <c r="D11" t="s">
        <v>1344</v>
      </c>
      <c r="E11" t="s">
        <v>1350</v>
      </c>
      <c r="F11" t="s">
        <v>1353</v>
      </c>
      <c r="G11" t="s">
        <v>1359</v>
      </c>
      <c r="H11" s="5">
        <v>32</v>
      </c>
      <c r="I11" s="9">
        <v>2999</v>
      </c>
      <c r="J11" s="9">
        <f t="shared" si="0"/>
        <v>95968</v>
      </c>
      <c r="K11" t="s">
        <v>1378</v>
      </c>
      <c r="L11" t="s">
        <v>1380</v>
      </c>
      <c r="M11" t="s">
        <v>1394</v>
      </c>
      <c r="N11">
        <f>COUNTA(_xlfn.UNIQUE(Table13[Invoice_ID]))</f>
        <v>1012</v>
      </c>
    </row>
    <row r="12" spans="1:14" x14ac:dyDescent="0.25">
      <c r="A12" s="3">
        <v>45335</v>
      </c>
      <c r="B12" t="s">
        <v>143</v>
      </c>
      <c r="C12" t="s">
        <v>1126</v>
      </c>
      <c r="D12" t="s">
        <v>1344</v>
      </c>
      <c r="E12" t="s">
        <v>1347</v>
      </c>
      <c r="F12" t="s">
        <v>1353</v>
      </c>
      <c r="G12" t="s">
        <v>1365</v>
      </c>
      <c r="H12" s="5">
        <v>25</v>
      </c>
      <c r="I12" s="9">
        <v>3499</v>
      </c>
      <c r="J12" s="9">
        <f t="shared" si="0"/>
        <v>87475</v>
      </c>
      <c r="K12" t="s">
        <v>1377</v>
      </c>
      <c r="L12" t="s">
        <v>1382</v>
      </c>
    </row>
    <row r="13" spans="1:14" x14ac:dyDescent="0.25">
      <c r="A13" s="3">
        <v>45477</v>
      </c>
      <c r="B13" t="s">
        <v>119</v>
      </c>
      <c r="C13" t="s">
        <v>1112</v>
      </c>
      <c r="D13" t="s">
        <v>1345</v>
      </c>
      <c r="E13" t="s">
        <v>1346</v>
      </c>
      <c r="F13" t="s">
        <v>1351</v>
      </c>
      <c r="G13" t="s">
        <v>1357</v>
      </c>
      <c r="H13" s="5">
        <v>36</v>
      </c>
      <c r="I13" s="9">
        <v>3499</v>
      </c>
      <c r="J13" s="9">
        <f t="shared" si="0"/>
        <v>125964</v>
      </c>
      <c r="K13" t="s">
        <v>1379</v>
      </c>
      <c r="L13" t="s">
        <v>1382</v>
      </c>
    </row>
    <row r="14" spans="1:14" x14ac:dyDescent="0.25">
      <c r="A14" s="3">
        <v>45425</v>
      </c>
      <c r="B14" t="s">
        <v>557</v>
      </c>
      <c r="C14" t="s">
        <v>1129</v>
      </c>
      <c r="D14" t="s">
        <v>1344</v>
      </c>
      <c r="E14" t="s">
        <v>1350</v>
      </c>
      <c r="F14" t="s">
        <v>1355</v>
      </c>
      <c r="G14" t="s">
        <v>1372</v>
      </c>
      <c r="H14" s="5">
        <v>3</v>
      </c>
      <c r="I14" s="9">
        <v>1499</v>
      </c>
      <c r="J14" s="9">
        <f t="shared" si="0"/>
        <v>4497</v>
      </c>
      <c r="K14" t="s">
        <v>1379</v>
      </c>
      <c r="L14" t="s">
        <v>1382</v>
      </c>
    </row>
    <row r="15" spans="1:14" x14ac:dyDescent="0.25">
      <c r="A15" s="3">
        <v>45522</v>
      </c>
      <c r="B15" t="s">
        <v>105</v>
      </c>
      <c r="C15" t="s">
        <v>1103</v>
      </c>
      <c r="D15" t="s">
        <v>1345</v>
      </c>
      <c r="E15" t="s">
        <v>1350</v>
      </c>
      <c r="F15" t="s">
        <v>1352</v>
      </c>
      <c r="G15" t="s">
        <v>1358</v>
      </c>
      <c r="H15" s="5">
        <v>5</v>
      </c>
      <c r="I15" s="9">
        <v>499</v>
      </c>
      <c r="J15" s="9">
        <f t="shared" si="0"/>
        <v>2495</v>
      </c>
      <c r="K15" t="s">
        <v>1379</v>
      </c>
      <c r="L15" t="s">
        <v>1382</v>
      </c>
    </row>
    <row r="16" spans="1:14" x14ac:dyDescent="0.25">
      <c r="A16" s="3">
        <v>45531</v>
      </c>
      <c r="B16" t="s">
        <v>328</v>
      </c>
      <c r="C16" t="s">
        <v>1217</v>
      </c>
      <c r="D16" t="s">
        <v>1345</v>
      </c>
      <c r="E16" t="s">
        <v>1349</v>
      </c>
      <c r="F16" t="s">
        <v>1355</v>
      </c>
      <c r="G16" t="s">
        <v>1373</v>
      </c>
      <c r="H16" s="5">
        <v>25</v>
      </c>
      <c r="I16" s="9">
        <v>1499</v>
      </c>
      <c r="J16" s="9">
        <f t="shared" si="0"/>
        <v>37475</v>
      </c>
      <c r="K16" t="s">
        <v>1379</v>
      </c>
      <c r="L16" t="s">
        <v>1382</v>
      </c>
    </row>
    <row r="17" spans="1:12" x14ac:dyDescent="0.25">
      <c r="A17" s="3">
        <v>45314</v>
      </c>
      <c r="B17" t="s">
        <v>110</v>
      </c>
      <c r="C17" t="s">
        <v>1106</v>
      </c>
      <c r="D17" t="s">
        <v>1389</v>
      </c>
      <c r="E17" t="s">
        <v>1349</v>
      </c>
      <c r="F17" t="s">
        <v>1351</v>
      </c>
      <c r="G17" t="s">
        <v>1357</v>
      </c>
      <c r="H17" s="5">
        <v>12</v>
      </c>
      <c r="I17" s="9">
        <v>199</v>
      </c>
      <c r="J17" s="9">
        <f t="shared" si="0"/>
        <v>2388</v>
      </c>
      <c r="K17" t="s">
        <v>1379</v>
      </c>
      <c r="L17" t="s">
        <v>1383</v>
      </c>
    </row>
    <row r="18" spans="1:12" x14ac:dyDescent="0.25">
      <c r="A18" s="3">
        <v>45392</v>
      </c>
      <c r="B18" t="s">
        <v>310</v>
      </c>
      <c r="C18" t="s">
        <v>1121</v>
      </c>
      <c r="D18" t="s">
        <v>1344</v>
      </c>
      <c r="E18" t="s">
        <v>1348</v>
      </c>
      <c r="F18" t="s">
        <v>1354</v>
      </c>
      <c r="G18" t="s">
        <v>1362</v>
      </c>
      <c r="H18" s="5">
        <v>9</v>
      </c>
      <c r="I18" s="9">
        <v>499</v>
      </c>
      <c r="J18" s="9">
        <f t="shared" si="0"/>
        <v>4491</v>
      </c>
      <c r="K18" t="s">
        <v>1379</v>
      </c>
      <c r="L18" t="s">
        <v>1384</v>
      </c>
    </row>
    <row r="19" spans="1:12" x14ac:dyDescent="0.25">
      <c r="A19" s="3">
        <v>45367</v>
      </c>
      <c r="B19" t="s">
        <v>613</v>
      </c>
      <c r="C19" t="s">
        <v>1039</v>
      </c>
      <c r="D19" t="s">
        <v>1345</v>
      </c>
      <c r="E19" t="s">
        <v>1346</v>
      </c>
      <c r="F19" t="s">
        <v>1352</v>
      </c>
      <c r="G19" t="s">
        <v>1358</v>
      </c>
      <c r="H19" s="5">
        <v>28</v>
      </c>
      <c r="I19" s="9">
        <v>1499</v>
      </c>
      <c r="J19" s="9">
        <f t="shared" si="0"/>
        <v>41972</v>
      </c>
      <c r="K19" t="s">
        <v>1379</v>
      </c>
      <c r="L19" t="s">
        <v>1380</v>
      </c>
    </row>
    <row r="20" spans="1:12" x14ac:dyDescent="0.25">
      <c r="A20" s="3">
        <v>45591</v>
      </c>
      <c r="B20" t="s">
        <v>171</v>
      </c>
      <c r="C20" t="s">
        <v>1141</v>
      </c>
      <c r="D20" t="s">
        <v>1345</v>
      </c>
      <c r="E20" t="s">
        <v>1346</v>
      </c>
      <c r="F20" t="s">
        <v>1355</v>
      </c>
      <c r="G20" t="s">
        <v>1373</v>
      </c>
      <c r="H20" s="5">
        <v>48</v>
      </c>
      <c r="I20" s="9">
        <v>199</v>
      </c>
      <c r="J20" s="9">
        <f t="shared" si="0"/>
        <v>9552</v>
      </c>
      <c r="K20" t="s">
        <v>1376</v>
      </c>
      <c r="L20" t="s">
        <v>1382</v>
      </c>
    </row>
    <row r="21" spans="1:12" x14ac:dyDescent="0.25">
      <c r="A21" s="3">
        <v>45471</v>
      </c>
      <c r="B21" t="s">
        <v>724</v>
      </c>
      <c r="C21" t="s">
        <v>1113</v>
      </c>
      <c r="D21" t="s">
        <v>1345</v>
      </c>
      <c r="E21" t="s">
        <v>1348</v>
      </c>
      <c r="F21" t="s">
        <v>1352</v>
      </c>
      <c r="G21" t="s">
        <v>1364</v>
      </c>
      <c r="H21" s="5">
        <v>23</v>
      </c>
      <c r="I21" s="9">
        <v>2999</v>
      </c>
      <c r="J21" s="9">
        <f t="shared" si="0"/>
        <v>68977</v>
      </c>
      <c r="K21" t="s">
        <v>1376</v>
      </c>
      <c r="L21" t="s">
        <v>1382</v>
      </c>
    </row>
    <row r="22" spans="1:12" x14ac:dyDescent="0.25">
      <c r="A22" s="3">
        <v>45576</v>
      </c>
      <c r="B22" t="s">
        <v>659</v>
      </c>
      <c r="C22" t="s">
        <v>1302</v>
      </c>
      <c r="D22" t="s">
        <v>1389</v>
      </c>
      <c r="E22" t="s">
        <v>1350</v>
      </c>
      <c r="F22" t="s">
        <v>1352</v>
      </c>
      <c r="G22" t="s">
        <v>1358</v>
      </c>
      <c r="H22" s="5">
        <v>25</v>
      </c>
      <c r="I22" s="9">
        <v>1499</v>
      </c>
      <c r="J22" s="9">
        <f t="shared" si="0"/>
        <v>37475</v>
      </c>
      <c r="K22" t="s">
        <v>1376</v>
      </c>
      <c r="L22" t="s">
        <v>1383</v>
      </c>
    </row>
    <row r="23" spans="1:12" x14ac:dyDescent="0.25">
      <c r="A23" s="3">
        <v>45462</v>
      </c>
      <c r="B23" t="s">
        <v>180</v>
      </c>
      <c r="C23" t="s">
        <v>1147</v>
      </c>
      <c r="D23" t="s">
        <v>1344</v>
      </c>
      <c r="E23" t="s">
        <v>1347</v>
      </c>
      <c r="F23" t="s">
        <v>1352</v>
      </c>
      <c r="G23" t="s">
        <v>1375</v>
      </c>
      <c r="H23" s="5">
        <v>2</v>
      </c>
      <c r="I23" s="9">
        <v>1499</v>
      </c>
      <c r="J23" s="9">
        <f t="shared" si="0"/>
        <v>2998</v>
      </c>
      <c r="K23" t="s">
        <v>1377</v>
      </c>
      <c r="L23" t="s">
        <v>1380</v>
      </c>
    </row>
    <row r="24" spans="1:12" x14ac:dyDescent="0.25">
      <c r="A24" s="3">
        <v>45583</v>
      </c>
      <c r="B24" t="s">
        <v>175</v>
      </c>
      <c r="C24" t="s">
        <v>1143</v>
      </c>
      <c r="D24" t="s">
        <v>1389</v>
      </c>
      <c r="E24" t="s">
        <v>1349</v>
      </c>
      <c r="F24" t="s">
        <v>1355</v>
      </c>
      <c r="G24" t="s">
        <v>1372</v>
      </c>
      <c r="H24" s="5">
        <v>35</v>
      </c>
      <c r="I24" s="9">
        <v>3499</v>
      </c>
      <c r="J24" s="9">
        <f t="shared" si="0"/>
        <v>122465</v>
      </c>
      <c r="K24" t="s">
        <v>1379</v>
      </c>
      <c r="L24" t="s">
        <v>1382</v>
      </c>
    </row>
    <row r="25" spans="1:12" x14ac:dyDescent="0.25">
      <c r="A25" s="3">
        <v>45430</v>
      </c>
      <c r="B25" t="s">
        <v>874</v>
      </c>
      <c r="C25" t="s">
        <v>1216</v>
      </c>
      <c r="D25" t="s">
        <v>1344</v>
      </c>
      <c r="E25" t="s">
        <v>1348</v>
      </c>
      <c r="F25" t="s">
        <v>1354</v>
      </c>
      <c r="G25" t="s">
        <v>1363</v>
      </c>
      <c r="H25" s="5">
        <v>45</v>
      </c>
      <c r="I25" s="9">
        <v>999</v>
      </c>
      <c r="J25" s="9">
        <f t="shared" si="0"/>
        <v>44955</v>
      </c>
      <c r="K25" t="s">
        <v>1379</v>
      </c>
      <c r="L25" t="s">
        <v>1380</v>
      </c>
    </row>
    <row r="26" spans="1:12" x14ac:dyDescent="0.25">
      <c r="A26" s="3">
        <v>45296</v>
      </c>
      <c r="B26" t="s">
        <v>440</v>
      </c>
      <c r="C26" t="s">
        <v>1197</v>
      </c>
      <c r="D26" t="s">
        <v>1344</v>
      </c>
      <c r="E26" t="s">
        <v>1348</v>
      </c>
      <c r="F26" t="s">
        <v>1352</v>
      </c>
      <c r="G26" t="s">
        <v>1375</v>
      </c>
      <c r="H26" s="5">
        <v>46</v>
      </c>
      <c r="I26" s="9">
        <v>999</v>
      </c>
      <c r="J26" s="9">
        <f t="shared" si="0"/>
        <v>45954</v>
      </c>
      <c r="K26" t="s">
        <v>1377</v>
      </c>
      <c r="L26" t="s">
        <v>1382</v>
      </c>
    </row>
    <row r="27" spans="1:12" x14ac:dyDescent="0.25">
      <c r="A27" s="3">
        <v>45560</v>
      </c>
      <c r="B27" t="s">
        <v>49</v>
      </c>
      <c r="C27" t="s">
        <v>1059</v>
      </c>
      <c r="D27" t="s">
        <v>1389</v>
      </c>
      <c r="E27" t="s">
        <v>1347</v>
      </c>
      <c r="F27" t="s">
        <v>1353</v>
      </c>
      <c r="G27" t="s">
        <v>1359</v>
      </c>
      <c r="H27" s="5">
        <v>3</v>
      </c>
      <c r="I27" s="9">
        <v>999</v>
      </c>
      <c r="J27" s="9">
        <f t="shared" si="0"/>
        <v>2997</v>
      </c>
      <c r="K27" t="s">
        <v>1379</v>
      </c>
      <c r="L27" t="s">
        <v>1383</v>
      </c>
    </row>
    <row r="28" spans="1:12" x14ac:dyDescent="0.25">
      <c r="A28" s="3">
        <v>45356</v>
      </c>
      <c r="B28" t="s">
        <v>720</v>
      </c>
      <c r="C28" t="s">
        <v>1300</v>
      </c>
      <c r="D28" t="s">
        <v>1344</v>
      </c>
      <c r="E28" t="s">
        <v>1350</v>
      </c>
      <c r="F28" t="s">
        <v>1352</v>
      </c>
      <c r="G28" t="s">
        <v>1364</v>
      </c>
      <c r="H28" s="5">
        <v>39</v>
      </c>
      <c r="I28" s="9">
        <v>199</v>
      </c>
      <c r="J28" s="9">
        <f t="shared" si="0"/>
        <v>7761</v>
      </c>
      <c r="K28" t="s">
        <v>1379</v>
      </c>
      <c r="L28" t="s">
        <v>1382</v>
      </c>
    </row>
    <row r="29" spans="1:12" x14ac:dyDescent="0.25">
      <c r="A29" s="3">
        <v>45594</v>
      </c>
      <c r="B29" t="s">
        <v>158</v>
      </c>
      <c r="C29" t="s">
        <v>1134</v>
      </c>
      <c r="D29" t="s">
        <v>1344</v>
      </c>
      <c r="E29" t="s">
        <v>1349</v>
      </c>
      <c r="F29" t="s">
        <v>1354</v>
      </c>
      <c r="G29" t="s">
        <v>1363</v>
      </c>
      <c r="H29" s="5">
        <v>29</v>
      </c>
      <c r="I29" s="9">
        <v>499</v>
      </c>
      <c r="J29" s="9">
        <f t="shared" si="0"/>
        <v>14471</v>
      </c>
      <c r="K29" t="s">
        <v>1377</v>
      </c>
      <c r="L29" t="s">
        <v>1382</v>
      </c>
    </row>
    <row r="30" spans="1:12" x14ac:dyDescent="0.25">
      <c r="A30" s="3">
        <v>45514</v>
      </c>
      <c r="B30" t="s">
        <v>239</v>
      </c>
      <c r="C30" t="s">
        <v>1071</v>
      </c>
      <c r="D30" t="s">
        <v>1345</v>
      </c>
      <c r="E30" t="s">
        <v>1349</v>
      </c>
      <c r="F30" t="s">
        <v>1354</v>
      </c>
      <c r="G30" t="s">
        <v>1366</v>
      </c>
      <c r="H30" s="5">
        <v>21</v>
      </c>
      <c r="I30" s="9">
        <v>199</v>
      </c>
      <c r="J30" s="9">
        <f t="shared" si="0"/>
        <v>4179</v>
      </c>
      <c r="K30" t="s">
        <v>1379</v>
      </c>
      <c r="L30" t="s">
        <v>1382</v>
      </c>
    </row>
    <row r="31" spans="1:12" x14ac:dyDescent="0.25">
      <c r="A31" s="3">
        <v>45609</v>
      </c>
      <c r="B31" t="s">
        <v>120</v>
      </c>
      <c r="C31" t="s">
        <v>1113</v>
      </c>
      <c r="D31" t="s">
        <v>1344</v>
      </c>
      <c r="E31" t="s">
        <v>1348</v>
      </c>
      <c r="F31" t="s">
        <v>1352</v>
      </c>
      <c r="G31" t="s">
        <v>1368</v>
      </c>
      <c r="H31" s="5">
        <v>2</v>
      </c>
      <c r="I31" s="9">
        <v>999</v>
      </c>
      <c r="J31" s="9">
        <f t="shared" si="0"/>
        <v>1998</v>
      </c>
      <c r="K31" t="s">
        <v>1379</v>
      </c>
      <c r="L31" t="s">
        <v>1380</v>
      </c>
    </row>
    <row r="32" spans="1:12" x14ac:dyDescent="0.25">
      <c r="A32" s="3">
        <v>45521</v>
      </c>
      <c r="B32" t="s">
        <v>80</v>
      </c>
      <c r="C32" t="s">
        <v>1064</v>
      </c>
      <c r="D32" t="s">
        <v>1344</v>
      </c>
      <c r="E32" t="s">
        <v>1349</v>
      </c>
      <c r="F32" t="s">
        <v>1351</v>
      </c>
      <c r="G32" t="s">
        <v>1356</v>
      </c>
      <c r="H32" s="5">
        <v>0</v>
      </c>
      <c r="I32" s="9">
        <v>499</v>
      </c>
      <c r="J32" s="9">
        <f t="shared" si="0"/>
        <v>0</v>
      </c>
      <c r="K32" t="s">
        <v>1378</v>
      </c>
      <c r="L32" t="s">
        <v>1381</v>
      </c>
    </row>
    <row r="33" spans="1:12" x14ac:dyDescent="0.25">
      <c r="A33" s="3">
        <v>45461</v>
      </c>
      <c r="B33" t="s">
        <v>618</v>
      </c>
      <c r="C33" t="s">
        <v>1149</v>
      </c>
      <c r="D33" t="s">
        <v>1344</v>
      </c>
      <c r="E33" t="s">
        <v>1349</v>
      </c>
      <c r="F33" t="s">
        <v>1354</v>
      </c>
      <c r="G33" t="s">
        <v>1366</v>
      </c>
      <c r="H33" s="5">
        <v>9</v>
      </c>
      <c r="I33" s="9">
        <v>2999</v>
      </c>
      <c r="J33" s="9">
        <f t="shared" si="0"/>
        <v>26991</v>
      </c>
      <c r="K33" t="s">
        <v>1379</v>
      </c>
      <c r="L33" t="s">
        <v>1382</v>
      </c>
    </row>
    <row r="34" spans="1:12" x14ac:dyDescent="0.25">
      <c r="A34" s="3">
        <v>45483</v>
      </c>
      <c r="B34" t="s">
        <v>34</v>
      </c>
      <c r="C34" t="s">
        <v>1044</v>
      </c>
      <c r="D34" t="s">
        <v>1389</v>
      </c>
      <c r="E34" t="s">
        <v>1347</v>
      </c>
      <c r="F34" t="s">
        <v>1353</v>
      </c>
      <c r="G34" t="s">
        <v>1367</v>
      </c>
      <c r="H34" s="5">
        <v>39</v>
      </c>
      <c r="I34" s="9">
        <v>999</v>
      </c>
      <c r="J34" s="9">
        <f t="shared" si="0"/>
        <v>38961</v>
      </c>
      <c r="K34" t="s">
        <v>1379</v>
      </c>
      <c r="L34" t="s">
        <v>1380</v>
      </c>
    </row>
    <row r="35" spans="1:12" x14ac:dyDescent="0.25">
      <c r="A35" s="3">
        <v>45642</v>
      </c>
      <c r="B35" t="s">
        <v>942</v>
      </c>
      <c r="C35" t="s">
        <v>1234</v>
      </c>
      <c r="D35" t="s">
        <v>1389</v>
      </c>
      <c r="E35" t="s">
        <v>1349</v>
      </c>
      <c r="F35" t="s">
        <v>1353</v>
      </c>
      <c r="G35" t="s">
        <v>1365</v>
      </c>
      <c r="H35" s="5">
        <v>4</v>
      </c>
      <c r="I35" s="9">
        <v>1999</v>
      </c>
      <c r="J35" s="9">
        <f t="shared" si="0"/>
        <v>7996</v>
      </c>
      <c r="K35" t="s">
        <v>1378</v>
      </c>
      <c r="L35" t="s">
        <v>1383</v>
      </c>
    </row>
    <row r="36" spans="1:12" x14ac:dyDescent="0.25">
      <c r="A36" s="3">
        <v>45404</v>
      </c>
      <c r="B36" t="s">
        <v>245</v>
      </c>
      <c r="C36" t="s">
        <v>1182</v>
      </c>
      <c r="D36" t="s">
        <v>1345</v>
      </c>
      <c r="E36" t="s">
        <v>1349</v>
      </c>
      <c r="F36" t="s">
        <v>1352</v>
      </c>
      <c r="G36" t="s">
        <v>1375</v>
      </c>
      <c r="H36" s="5">
        <v>42</v>
      </c>
      <c r="I36" s="9">
        <v>499</v>
      </c>
      <c r="J36" s="9">
        <f t="shared" si="0"/>
        <v>20958</v>
      </c>
      <c r="K36" t="s">
        <v>1376</v>
      </c>
      <c r="L36" t="s">
        <v>1384</v>
      </c>
    </row>
    <row r="37" spans="1:12" x14ac:dyDescent="0.25">
      <c r="A37" s="3">
        <v>45346</v>
      </c>
      <c r="B37" t="s">
        <v>402</v>
      </c>
      <c r="C37" t="s">
        <v>1251</v>
      </c>
      <c r="D37" t="s">
        <v>1345</v>
      </c>
      <c r="E37" t="s">
        <v>1347</v>
      </c>
      <c r="F37" t="s">
        <v>1355</v>
      </c>
      <c r="G37" t="s">
        <v>1372</v>
      </c>
      <c r="H37" s="5">
        <v>12</v>
      </c>
      <c r="I37" s="9">
        <v>1999</v>
      </c>
      <c r="J37" s="9">
        <f t="shared" si="0"/>
        <v>23988</v>
      </c>
      <c r="K37" t="s">
        <v>1377</v>
      </c>
      <c r="L37" t="s">
        <v>1380</v>
      </c>
    </row>
    <row r="38" spans="1:12" x14ac:dyDescent="0.25">
      <c r="A38" s="3">
        <v>45492</v>
      </c>
      <c r="B38" t="s">
        <v>417</v>
      </c>
      <c r="C38" t="s">
        <v>1229</v>
      </c>
      <c r="D38" t="s">
        <v>1389</v>
      </c>
      <c r="E38" t="s">
        <v>1347</v>
      </c>
      <c r="F38" t="s">
        <v>1351</v>
      </c>
      <c r="G38" t="s">
        <v>1371</v>
      </c>
      <c r="H38" s="5">
        <v>35</v>
      </c>
      <c r="I38" s="9">
        <v>199</v>
      </c>
      <c r="J38" s="9">
        <f t="shared" si="0"/>
        <v>6965</v>
      </c>
      <c r="K38" t="s">
        <v>1379</v>
      </c>
      <c r="L38" t="s">
        <v>1383</v>
      </c>
    </row>
    <row r="39" spans="1:12" x14ac:dyDescent="0.25">
      <c r="A39" s="3">
        <v>45461</v>
      </c>
      <c r="B39" t="s">
        <v>145</v>
      </c>
      <c r="C39" t="s">
        <v>1127</v>
      </c>
      <c r="D39" t="s">
        <v>1345</v>
      </c>
      <c r="E39" t="s">
        <v>1350</v>
      </c>
      <c r="F39" t="s">
        <v>1354</v>
      </c>
      <c r="G39" t="s">
        <v>1363</v>
      </c>
      <c r="H39" s="5">
        <v>36</v>
      </c>
      <c r="I39" s="9">
        <v>499</v>
      </c>
      <c r="J39" s="9">
        <f t="shared" si="0"/>
        <v>17964</v>
      </c>
      <c r="K39" t="s">
        <v>1379</v>
      </c>
      <c r="L39" t="s">
        <v>1382</v>
      </c>
    </row>
    <row r="40" spans="1:12" x14ac:dyDescent="0.25">
      <c r="A40" s="3">
        <v>45613</v>
      </c>
      <c r="B40" t="s">
        <v>600</v>
      </c>
      <c r="C40" t="s">
        <v>1256</v>
      </c>
      <c r="D40" t="s">
        <v>1345</v>
      </c>
      <c r="E40" t="s">
        <v>1346</v>
      </c>
      <c r="F40" t="s">
        <v>1353</v>
      </c>
      <c r="G40" t="s">
        <v>1365</v>
      </c>
      <c r="H40" s="5">
        <v>9</v>
      </c>
      <c r="I40" s="9">
        <v>2499</v>
      </c>
      <c r="J40" s="9">
        <f t="shared" si="0"/>
        <v>22491</v>
      </c>
      <c r="K40" t="s">
        <v>1379</v>
      </c>
      <c r="L40" t="s">
        <v>1384</v>
      </c>
    </row>
    <row r="41" spans="1:12" x14ac:dyDescent="0.25">
      <c r="A41" s="3">
        <v>45451</v>
      </c>
      <c r="B41" t="s">
        <v>320</v>
      </c>
      <c r="C41" t="s">
        <v>1026</v>
      </c>
      <c r="D41" t="s">
        <v>1344</v>
      </c>
      <c r="E41" t="s">
        <v>1349</v>
      </c>
      <c r="F41" t="s">
        <v>1355</v>
      </c>
      <c r="G41" t="s">
        <v>1372</v>
      </c>
      <c r="H41" s="5">
        <v>46</v>
      </c>
      <c r="I41" s="9">
        <v>999</v>
      </c>
      <c r="J41" s="9">
        <f t="shared" si="0"/>
        <v>45954</v>
      </c>
      <c r="K41" t="s">
        <v>1376</v>
      </c>
      <c r="L41" t="s">
        <v>1382</v>
      </c>
    </row>
    <row r="42" spans="1:12" x14ac:dyDescent="0.25">
      <c r="A42" s="3">
        <v>45633</v>
      </c>
      <c r="B42" t="s">
        <v>47</v>
      </c>
      <c r="C42" t="s">
        <v>1057</v>
      </c>
      <c r="D42" t="s">
        <v>1344</v>
      </c>
      <c r="E42" t="s">
        <v>1347</v>
      </c>
      <c r="F42" t="s">
        <v>1355</v>
      </c>
      <c r="G42" t="s">
        <v>1360</v>
      </c>
      <c r="H42" s="5">
        <v>11</v>
      </c>
      <c r="I42" s="9">
        <v>3499</v>
      </c>
      <c r="J42" s="9">
        <f t="shared" si="0"/>
        <v>38489</v>
      </c>
      <c r="K42" t="s">
        <v>1379</v>
      </c>
      <c r="L42" t="s">
        <v>1382</v>
      </c>
    </row>
    <row r="43" spans="1:12" x14ac:dyDescent="0.25">
      <c r="A43" s="3">
        <v>45493</v>
      </c>
      <c r="B43" t="s">
        <v>67</v>
      </c>
      <c r="C43" t="s">
        <v>1073</v>
      </c>
      <c r="D43" t="s">
        <v>1389</v>
      </c>
      <c r="E43" t="s">
        <v>1347</v>
      </c>
      <c r="F43" t="s">
        <v>1351</v>
      </c>
      <c r="G43" t="s">
        <v>1371</v>
      </c>
      <c r="H43" s="5">
        <v>48</v>
      </c>
      <c r="I43" s="9">
        <v>3499</v>
      </c>
      <c r="J43" s="9">
        <f t="shared" si="0"/>
        <v>167952</v>
      </c>
      <c r="K43" t="s">
        <v>1378</v>
      </c>
      <c r="L43" t="s">
        <v>1383</v>
      </c>
    </row>
    <row r="44" spans="1:12" x14ac:dyDescent="0.25">
      <c r="A44" s="3">
        <v>45637</v>
      </c>
      <c r="B44" t="s">
        <v>581</v>
      </c>
      <c r="C44" t="s">
        <v>1135</v>
      </c>
      <c r="D44" t="s">
        <v>1344</v>
      </c>
      <c r="E44" t="s">
        <v>1349</v>
      </c>
      <c r="F44" t="s">
        <v>1355</v>
      </c>
      <c r="G44" t="s">
        <v>1360</v>
      </c>
      <c r="H44" s="5">
        <v>33</v>
      </c>
      <c r="I44" s="9">
        <v>1999</v>
      </c>
      <c r="J44" s="9">
        <f t="shared" si="0"/>
        <v>65967</v>
      </c>
      <c r="K44" t="s">
        <v>1378</v>
      </c>
      <c r="L44" t="s">
        <v>1382</v>
      </c>
    </row>
    <row r="45" spans="1:12" x14ac:dyDescent="0.25">
      <c r="A45" s="3">
        <v>45648</v>
      </c>
      <c r="B45" t="s">
        <v>236</v>
      </c>
      <c r="C45" t="s">
        <v>1088</v>
      </c>
      <c r="D45" t="s">
        <v>1344</v>
      </c>
      <c r="E45" t="s">
        <v>1349</v>
      </c>
      <c r="F45" t="s">
        <v>1351</v>
      </c>
      <c r="G45" t="s">
        <v>1370</v>
      </c>
      <c r="H45" s="5">
        <v>46</v>
      </c>
      <c r="I45" s="9">
        <v>3499</v>
      </c>
      <c r="J45" s="9">
        <f t="shared" si="0"/>
        <v>160954</v>
      </c>
      <c r="K45" t="s">
        <v>1379</v>
      </c>
      <c r="L45" t="s">
        <v>1383</v>
      </c>
    </row>
    <row r="46" spans="1:12" x14ac:dyDescent="0.25">
      <c r="A46" s="3">
        <v>45440</v>
      </c>
      <c r="B46" t="s">
        <v>412</v>
      </c>
      <c r="C46" t="s">
        <v>1179</v>
      </c>
      <c r="D46" t="s">
        <v>1345</v>
      </c>
      <c r="E46" t="s">
        <v>1349</v>
      </c>
      <c r="F46" t="s">
        <v>1353</v>
      </c>
      <c r="G46" t="s">
        <v>1359</v>
      </c>
      <c r="H46" s="5">
        <v>40</v>
      </c>
      <c r="I46" s="9">
        <v>1845</v>
      </c>
      <c r="J46" s="9">
        <f t="shared" si="0"/>
        <v>73800</v>
      </c>
      <c r="K46" t="s">
        <v>1379</v>
      </c>
      <c r="L46" t="s">
        <v>1380</v>
      </c>
    </row>
    <row r="47" spans="1:12" x14ac:dyDescent="0.25">
      <c r="A47" s="3">
        <v>45436</v>
      </c>
      <c r="B47" t="s">
        <v>507</v>
      </c>
      <c r="C47" t="s">
        <v>1234</v>
      </c>
      <c r="D47" t="s">
        <v>1344</v>
      </c>
      <c r="E47" t="s">
        <v>1349</v>
      </c>
      <c r="F47" t="s">
        <v>1353</v>
      </c>
      <c r="G47" t="s">
        <v>1365</v>
      </c>
      <c r="H47" s="5">
        <v>4</v>
      </c>
      <c r="I47" s="9">
        <v>499</v>
      </c>
      <c r="J47" s="9">
        <f t="shared" si="0"/>
        <v>1996</v>
      </c>
      <c r="K47" t="s">
        <v>1379</v>
      </c>
      <c r="L47" t="s">
        <v>1384</v>
      </c>
    </row>
    <row r="48" spans="1:12" x14ac:dyDescent="0.25">
      <c r="A48" s="3">
        <v>45481</v>
      </c>
      <c r="B48" t="s">
        <v>354</v>
      </c>
      <c r="C48" t="s">
        <v>1216</v>
      </c>
      <c r="D48" t="s">
        <v>1345</v>
      </c>
      <c r="E48" t="s">
        <v>1348</v>
      </c>
      <c r="F48" t="s">
        <v>1355</v>
      </c>
      <c r="G48" t="s">
        <v>1372</v>
      </c>
      <c r="H48" s="5">
        <v>48</v>
      </c>
      <c r="I48" s="9">
        <v>1499</v>
      </c>
      <c r="J48" s="9">
        <f t="shared" si="0"/>
        <v>71952</v>
      </c>
      <c r="K48" t="s">
        <v>1377</v>
      </c>
      <c r="L48" t="s">
        <v>1382</v>
      </c>
    </row>
    <row r="49" spans="1:12" x14ac:dyDescent="0.25">
      <c r="A49" s="3">
        <v>45544</v>
      </c>
      <c r="B49" t="s">
        <v>387</v>
      </c>
      <c r="C49" t="s">
        <v>1238</v>
      </c>
      <c r="D49" t="s">
        <v>1345</v>
      </c>
      <c r="E49" t="s">
        <v>1346</v>
      </c>
      <c r="F49" t="s">
        <v>1353</v>
      </c>
      <c r="G49" t="s">
        <v>1369</v>
      </c>
      <c r="H49" s="5">
        <v>4</v>
      </c>
      <c r="I49" s="9">
        <v>1999</v>
      </c>
      <c r="J49" s="9">
        <f t="shared" si="0"/>
        <v>7996</v>
      </c>
      <c r="K49" t="s">
        <v>1376</v>
      </c>
      <c r="L49" t="s">
        <v>1380</v>
      </c>
    </row>
    <row r="50" spans="1:12" x14ac:dyDescent="0.25">
      <c r="A50" s="3">
        <v>45326</v>
      </c>
      <c r="B50" t="s">
        <v>276</v>
      </c>
      <c r="C50" t="s">
        <v>1199</v>
      </c>
      <c r="D50" t="s">
        <v>1345</v>
      </c>
      <c r="E50" t="s">
        <v>1347</v>
      </c>
      <c r="F50" t="s">
        <v>1353</v>
      </c>
      <c r="G50" t="s">
        <v>1369</v>
      </c>
      <c r="H50" s="5">
        <v>7</v>
      </c>
      <c r="I50" s="9">
        <v>2999</v>
      </c>
      <c r="J50" s="9">
        <f t="shared" si="0"/>
        <v>20993</v>
      </c>
      <c r="K50" t="s">
        <v>1377</v>
      </c>
      <c r="L50" t="s">
        <v>1381</v>
      </c>
    </row>
    <row r="51" spans="1:12" x14ac:dyDescent="0.25">
      <c r="A51" s="3">
        <v>45531</v>
      </c>
      <c r="B51" t="s">
        <v>229</v>
      </c>
      <c r="C51" t="s">
        <v>1094</v>
      </c>
      <c r="D51" t="s">
        <v>1345</v>
      </c>
      <c r="E51" t="s">
        <v>1347</v>
      </c>
      <c r="F51" t="s">
        <v>1355</v>
      </c>
      <c r="G51" t="s">
        <v>1373</v>
      </c>
      <c r="H51" s="5">
        <v>5</v>
      </c>
      <c r="I51" s="9">
        <v>1499</v>
      </c>
      <c r="J51" s="9">
        <f t="shared" si="0"/>
        <v>7495</v>
      </c>
      <c r="K51" t="s">
        <v>1377</v>
      </c>
      <c r="L51" t="s">
        <v>1382</v>
      </c>
    </row>
    <row r="52" spans="1:12" x14ac:dyDescent="0.25">
      <c r="A52" s="3">
        <v>45497</v>
      </c>
      <c r="B52" t="s">
        <v>496</v>
      </c>
      <c r="C52" t="s">
        <v>1266</v>
      </c>
      <c r="D52" t="s">
        <v>1344</v>
      </c>
      <c r="E52" t="s">
        <v>1346</v>
      </c>
      <c r="F52" t="s">
        <v>1352</v>
      </c>
      <c r="G52" t="s">
        <v>1358</v>
      </c>
      <c r="H52" s="5">
        <v>26</v>
      </c>
      <c r="I52" s="9">
        <v>499</v>
      </c>
      <c r="J52" s="9">
        <f t="shared" si="0"/>
        <v>12974</v>
      </c>
      <c r="K52" t="s">
        <v>1379</v>
      </c>
      <c r="L52" t="s">
        <v>1383</v>
      </c>
    </row>
    <row r="53" spans="1:12" x14ac:dyDescent="0.25">
      <c r="A53" s="3">
        <v>45637</v>
      </c>
      <c r="B53" t="s">
        <v>809</v>
      </c>
      <c r="C53" t="s">
        <v>1145</v>
      </c>
      <c r="D53" t="s">
        <v>1344</v>
      </c>
      <c r="E53" t="s">
        <v>1346</v>
      </c>
      <c r="F53" t="s">
        <v>1353</v>
      </c>
      <c r="G53" t="s">
        <v>1367</v>
      </c>
      <c r="H53" s="5">
        <v>27</v>
      </c>
      <c r="I53" s="9">
        <v>2499</v>
      </c>
      <c r="J53" s="9">
        <f t="shared" si="0"/>
        <v>67473</v>
      </c>
      <c r="K53" t="s">
        <v>1377</v>
      </c>
      <c r="L53" t="s">
        <v>1381</v>
      </c>
    </row>
    <row r="54" spans="1:12" x14ac:dyDescent="0.25">
      <c r="A54" s="3">
        <v>45521</v>
      </c>
      <c r="B54" t="s">
        <v>21</v>
      </c>
      <c r="C54" t="s">
        <v>1033</v>
      </c>
      <c r="D54" t="s">
        <v>1389</v>
      </c>
      <c r="E54" t="s">
        <v>1347</v>
      </c>
      <c r="F54" t="s">
        <v>1351</v>
      </c>
      <c r="G54" t="s">
        <v>1357</v>
      </c>
      <c r="H54" s="5">
        <v>48</v>
      </c>
      <c r="I54" s="9">
        <v>199</v>
      </c>
      <c r="J54" s="9">
        <f t="shared" si="0"/>
        <v>9552</v>
      </c>
      <c r="K54" t="s">
        <v>1377</v>
      </c>
      <c r="L54" t="s">
        <v>1381</v>
      </c>
    </row>
    <row r="55" spans="1:12" x14ac:dyDescent="0.25">
      <c r="A55" s="3">
        <v>45403</v>
      </c>
      <c r="B55" t="s">
        <v>201</v>
      </c>
      <c r="C55" t="s">
        <v>1160</v>
      </c>
      <c r="D55" t="s">
        <v>1345</v>
      </c>
      <c r="E55" t="s">
        <v>1349</v>
      </c>
      <c r="F55" t="s">
        <v>1355</v>
      </c>
      <c r="G55" t="s">
        <v>1360</v>
      </c>
      <c r="H55" s="5">
        <v>28</v>
      </c>
      <c r="I55" s="9">
        <v>1999</v>
      </c>
      <c r="J55" s="9">
        <f t="shared" si="0"/>
        <v>55972</v>
      </c>
      <c r="K55" t="s">
        <v>1379</v>
      </c>
      <c r="L55" t="s">
        <v>1382</v>
      </c>
    </row>
    <row r="56" spans="1:12" x14ac:dyDescent="0.25">
      <c r="A56" s="3">
        <v>45580</v>
      </c>
      <c r="B56" t="s">
        <v>697</v>
      </c>
      <c r="C56" t="s">
        <v>1248</v>
      </c>
      <c r="D56" t="s">
        <v>1345</v>
      </c>
      <c r="E56" t="s">
        <v>1347</v>
      </c>
      <c r="F56" t="s">
        <v>1351</v>
      </c>
      <c r="G56" t="s">
        <v>1371</v>
      </c>
      <c r="H56" s="5">
        <v>25</v>
      </c>
      <c r="I56" s="9">
        <v>1878</v>
      </c>
      <c r="J56" s="9">
        <f t="shared" si="0"/>
        <v>46950</v>
      </c>
      <c r="K56" t="s">
        <v>1379</v>
      </c>
      <c r="L56" t="s">
        <v>1384</v>
      </c>
    </row>
    <row r="57" spans="1:12" x14ac:dyDescent="0.25">
      <c r="A57" s="3">
        <v>45296</v>
      </c>
      <c r="B57" t="s">
        <v>324</v>
      </c>
      <c r="C57" t="s">
        <v>1215</v>
      </c>
      <c r="D57" t="s">
        <v>1389</v>
      </c>
      <c r="E57" t="s">
        <v>1347</v>
      </c>
      <c r="F57" t="s">
        <v>1354</v>
      </c>
      <c r="G57" t="s">
        <v>1361</v>
      </c>
      <c r="H57" s="5">
        <v>40</v>
      </c>
      <c r="I57" s="9">
        <v>199</v>
      </c>
      <c r="J57" s="9">
        <f t="shared" si="0"/>
        <v>7960</v>
      </c>
      <c r="K57" t="s">
        <v>1377</v>
      </c>
      <c r="L57" t="s">
        <v>1382</v>
      </c>
    </row>
    <row r="58" spans="1:12" x14ac:dyDescent="0.25">
      <c r="A58" s="3">
        <v>45531</v>
      </c>
      <c r="B58" t="s">
        <v>472</v>
      </c>
      <c r="C58" t="s">
        <v>1278</v>
      </c>
      <c r="D58" t="s">
        <v>1389</v>
      </c>
      <c r="E58" t="s">
        <v>1348</v>
      </c>
      <c r="F58" t="s">
        <v>1352</v>
      </c>
      <c r="G58" t="s">
        <v>1364</v>
      </c>
      <c r="H58" s="5">
        <v>23</v>
      </c>
      <c r="I58" s="9">
        <v>999</v>
      </c>
      <c r="J58" s="9">
        <f t="shared" si="0"/>
        <v>22977</v>
      </c>
      <c r="K58" t="s">
        <v>1379</v>
      </c>
      <c r="L58" t="s">
        <v>1384</v>
      </c>
    </row>
    <row r="59" spans="1:12" x14ac:dyDescent="0.25">
      <c r="A59" s="3">
        <v>45595</v>
      </c>
      <c r="B59" t="s">
        <v>694</v>
      </c>
      <c r="C59" t="s">
        <v>1249</v>
      </c>
      <c r="D59" t="s">
        <v>1344</v>
      </c>
      <c r="E59" t="s">
        <v>1348</v>
      </c>
      <c r="F59" t="s">
        <v>1353</v>
      </c>
      <c r="G59" t="s">
        <v>1359</v>
      </c>
      <c r="H59" s="5">
        <v>25</v>
      </c>
      <c r="I59" s="9">
        <v>1499</v>
      </c>
      <c r="J59" s="9">
        <f t="shared" si="0"/>
        <v>37475</v>
      </c>
      <c r="K59" t="s">
        <v>1377</v>
      </c>
      <c r="L59" t="s">
        <v>1383</v>
      </c>
    </row>
    <row r="60" spans="1:12" x14ac:dyDescent="0.25">
      <c r="A60" s="3">
        <v>45394</v>
      </c>
      <c r="B60" t="s">
        <v>768</v>
      </c>
      <c r="C60" t="s">
        <v>1222</v>
      </c>
      <c r="D60" t="s">
        <v>1344</v>
      </c>
      <c r="E60" t="s">
        <v>1346</v>
      </c>
      <c r="F60" t="s">
        <v>1354</v>
      </c>
      <c r="G60" t="s">
        <v>1361</v>
      </c>
      <c r="H60" s="5">
        <v>42</v>
      </c>
      <c r="I60" s="9">
        <v>999</v>
      </c>
      <c r="J60" s="9">
        <f t="shared" si="0"/>
        <v>41958</v>
      </c>
      <c r="K60" t="s">
        <v>1379</v>
      </c>
      <c r="L60" t="s">
        <v>1380</v>
      </c>
    </row>
    <row r="61" spans="1:12" x14ac:dyDescent="0.25">
      <c r="A61" s="3">
        <v>45593</v>
      </c>
      <c r="B61" t="s">
        <v>194</v>
      </c>
      <c r="C61" t="s">
        <v>1156</v>
      </c>
      <c r="D61" t="s">
        <v>1345</v>
      </c>
      <c r="E61" t="s">
        <v>1347</v>
      </c>
      <c r="F61" t="s">
        <v>1353</v>
      </c>
      <c r="G61" t="s">
        <v>1369</v>
      </c>
      <c r="H61" s="5">
        <v>35</v>
      </c>
      <c r="I61" s="9">
        <v>3499</v>
      </c>
      <c r="J61" s="9">
        <f t="shared" si="0"/>
        <v>122465</v>
      </c>
      <c r="K61" t="s">
        <v>1377</v>
      </c>
      <c r="L61" t="s">
        <v>1384</v>
      </c>
    </row>
    <row r="62" spans="1:12" x14ac:dyDescent="0.25">
      <c r="A62" s="3">
        <v>45617</v>
      </c>
      <c r="B62" t="s">
        <v>230</v>
      </c>
      <c r="C62" t="s">
        <v>1027</v>
      </c>
      <c r="D62" t="s">
        <v>1344</v>
      </c>
      <c r="E62" t="s">
        <v>1346</v>
      </c>
      <c r="F62" t="s">
        <v>1352</v>
      </c>
      <c r="G62" t="s">
        <v>1364</v>
      </c>
      <c r="H62" s="5">
        <v>14</v>
      </c>
      <c r="I62" s="9">
        <v>199</v>
      </c>
      <c r="J62" s="9">
        <f t="shared" si="0"/>
        <v>2786</v>
      </c>
      <c r="K62" t="s">
        <v>1378</v>
      </c>
      <c r="L62" t="s">
        <v>1381</v>
      </c>
    </row>
    <row r="63" spans="1:12" x14ac:dyDescent="0.25">
      <c r="A63" s="3">
        <v>45454</v>
      </c>
      <c r="B63" t="s">
        <v>313</v>
      </c>
      <c r="C63" t="s">
        <v>1112</v>
      </c>
      <c r="D63" t="s">
        <v>1345</v>
      </c>
      <c r="E63" t="s">
        <v>1346</v>
      </c>
      <c r="F63" t="s">
        <v>1353</v>
      </c>
      <c r="G63" t="s">
        <v>1369</v>
      </c>
      <c r="H63" s="5">
        <v>17</v>
      </c>
      <c r="I63" s="9">
        <v>1845</v>
      </c>
      <c r="J63" s="9">
        <f t="shared" si="0"/>
        <v>31365</v>
      </c>
      <c r="K63" t="s">
        <v>1377</v>
      </c>
      <c r="L63" t="s">
        <v>1383</v>
      </c>
    </row>
    <row r="64" spans="1:12" x14ac:dyDescent="0.25">
      <c r="A64" s="3">
        <v>45610</v>
      </c>
      <c r="B64" t="s">
        <v>684</v>
      </c>
      <c r="C64" t="s">
        <v>1070</v>
      </c>
      <c r="D64" t="s">
        <v>1389</v>
      </c>
      <c r="E64" t="s">
        <v>1346</v>
      </c>
      <c r="F64" t="s">
        <v>1354</v>
      </c>
      <c r="G64" t="s">
        <v>1361</v>
      </c>
      <c r="H64" s="5">
        <v>13</v>
      </c>
      <c r="I64" s="9">
        <v>3499</v>
      </c>
      <c r="J64" s="9">
        <f t="shared" si="0"/>
        <v>45487</v>
      </c>
      <c r="K64" t="s">
        <v>1377</v>
      </c>
      <c r="L64" t="s">
        <v>1380</v>
      </c>
    </row>
    <row r="65" spans="1:12" x14ac:dyDescent="0.25">
      <c r="A65" s="3">
        <v>45400</v>
      </c>
      <c r="B65" t="s">
        <v>464</v>
      </c>
      <c r="C65" t="s">
        <v>1167</v>
      </c>
      <c r="D65" t="s">
        <v>1389</v>
      </c>
      <c r="E65" t="s">
        <v>1346</v>
      </c>
      <c r="F65" t="s">
        <v>1354</v>
      </c>
      <c r="G65" t="s">
        <v>1366</v>
      </c>
      <c r="H65" s="5">
        <v>20</v>
      </c>
      <c r="I65" s="9">
        <v>2999</v>
      </c>
      <c r="J65" s="9">
        <f t="shared" si="0"/>
        <v>59980</v>
      </c>
      <c r="K65" t="s">
        <v>1376</v>
      </c>
      <c r="L65" t="s">
        <v>1382</v>
      </c>
    </row>
    <row r="66" spans="1:12" x14ac:dyDescent="0.25">
      <c r="A66" s="3">
        <v>45547</v>
      </c>
      <c r="B66" t="s">
        <v>75</v>
      </c>
      <c r="C66" t="s">
        <v>1080</v>
      </c>
      <c r="D66" t="s">
        <v>1345</v>
      </c>
      <c r="E66" t="s">
        <v>1349</v>
      </c>
      <c r="F66" t="s">
        <v>1354</v>
      </c>
      <c r="G66" t="s">
        <v>1366</v>
      </c>
      <c r="H66" s="5">
        <v>28</v>
      </c>
      <c r="I66" s="9">
        <v>499</v>
      </c>
      <c r="J66" s="9">
        <f t="shared" ref="J66:J129" si="1">H66*I66</f>
        <v>13972</v>
      </c>
      <c r="K66" t="s">
        <v>1376</v>
      </c>
      <c r="L66" t="s">
        <v>1380</v>
      </c>
    </row>
    <row r="67" spans="1:12" x14ac:dyDescent="0.25">
      <c r="A67" s="3">
        <v>45461</v>
      </c>
      <c r="B67" t="s">
        <v>52</v>
      </c>
      <c r="C67" t="s">
        <v>1062</v>
      </c>
      <c r="D67" t="s">
        <v>1389</v>
      </c>
      <c r="E67" t="s">
        <v>1347</v>
      </c>
      <c r="F67" t="s">
        <v>1355</v>
      </c>
      <c r="G67" t="s">
        <v>1360</v>
      </c>
      <c r="H67" s="5">
        <v>15</v>
      </c>
      <c r="I67" s="9">
        <v>2999</v>
      </c>
      <c r="J67" s="9">
        <f t="shared" si="1"/>
        <v>44985</v>
      </c>
      <c r="K67" t="s">
        <v>1379</v>
      </c>
      <c r="L67" t="s">
        <v>1380</v>
      </c>
    </row>
    <row r="68" spans="1:12" x14ac:dyDescent="0.25">
      <c r="A68" s="3">
        <v>45599</v>
      </c>
      <c r="B68" t="s">
        <v>137</v>
      </c>
      <c r="C68" t="s">
        <v>1109</v>
      </c>
      <c r="D68" t="s">
        <v>1344</v>
      </c>
      <c r="E68" t="s">
        <v>1346</v>
      </c>
      <c r="F68" t="s">
        <v>1353</v>
      </c>
      <c r="G68" t="s">
        <v>1359</v>
      </c>
      <c r="H68" s="5">
        <v>5</v>
      </c>
      <c r="I68" s="9">
        <v>1999</v>
      </c>
      <c r="J68" s="9">
        <f t="shared" si="1"/>
        <v>9995</v>
      </c>
      <c r="K68" t="s">
        <v>1378</v>
      </c>
      <c r="L68" t="s">
        <v>1383</v>
      </c>
    </row>
    <row r="69" spans="1:12" x14ac:dyDescent="0.25">
      <c r="A69" s="3">
        <v>45594</v>
      </c>
      <c r="B69" t="s">
        <v>416</v>
      </c>
      <c r="C69" t="s">
        <v>1258</v>
      </c>
      <c r="D69" t="s">
        <v>1389</v>
      </c>
      <c r="E69" t="s">
        <v>1349</v>
      </c>
      <c r="F69" t="s">
        <v>1355</v>
      </c>
      <c r="G69" t="s">
        <v>1373</v>
      </c>
      <c r="H69" s="5">
        <v>45</v>
      </c>
      <c r="I69" s="9">
        <v>2499</v>
      </c>
      <c r="J69" s="9">
        <f t="shared" si="1"/>
        <v>112455</v>
      </c>
      <c r="K69" t="s">
        <v>1379</v>
      </c>
      <c r="L69" t="s">
        <v>1380</v>
      </c>
    </row>
    <row r="70" spans="1:12" x14ac:dyDescent="0.25">
      <c r="A70" s="3">
        <v>45337</v>
      </c>
      <c r="B70" t="s">
        <v>139</v>
      </c>
      <c r="C70" t="s">
        <v>1123</v>
      </c>
      <c r="D70" t="s">
        <v>1344</v>
      </c>
      <c r="E70" t="s">
        <v>1350</v>
      </c>
      <c r="F70" t="s">
        <v>1355</v>
      </c>
      <c r="G70" t="s">
        <v>1373</v>
      </c>
      <c r="H70" s="5">
        <v>20</v>
      </c>
      <c r="I70" s="9">
        <v>1838</v>
      </c>
      <c r="J70" s="9">
        <f t="shared" si="1"/>
        <v>36760</v>
      </c>
      <c r="K70" t="s">
        <v>1377</v>
      </c>
      <c r="L70" t="s">
        <v>1380</v>
      </c>
    </row>
    <row r="71" spans="1:12" x14ac:dyDescent="0.25">
      <c r="A71" s="3">
        <v>45545</v>
      </c>
      <c r="B71" t="s">
        <v>776</v>
      </c>
      <c r="C71" t="s">
        <v>1050</v>
      </c>
      <c r="D71" t="s">
        <v>1345</v>
      </c>
      <c r="E71" t="s">
        <v>1349</v>
      </c>
      <c r="F71" t="s">
        <v>1352</v>
      </c>
      <c r="G71" t="s">
        <v>1368</v>
      </c>
      <c r="H71" s="5">
        <v>48</v>
      </c>
      <c r="I71" s="9">
        <v>499</v>
      </c>
      <c r="J71" s="9">
        <f t="shared" si="1"/>
        <v>23952</v>
      </c>
      <c r="K71" t="s">
        <v>1377</v>
      </c>
      <c r="L71" t="s">
        <v>1382</v>
      </c>
    </row>
    <row r="72" spans="1:12" x14ac:dyDescent="0.25">
      <c r="A72" s="3">
        <v>45391</v>
      </c>
      <c r="B72" t="s">
        <v>392</v>
      </c>
      <c r="C72" t="s">
        <v>1247</v>
      </c>
      <c r="D72" t="s">
        <v>1344</v>
      </c>
      <c r="E72" t="s">
        <v>1350</v>
      </c>
      <c r="F72" t="s">
        <v>1355</v>
      </c>
      <c r="G72" t="s">
        <v>1373</v>
      </c>
      <c r="H72" s="5">
        <v>3</v>
      </c>
      <c r="I72" s="9">
        <v>2999</v>
      </c>
      <c r="J72" s="9">
        <f t="shared" si="1"/>
        <v>8997</v>
      </c>
      <c r="K72" t="s">
        <v>1377</v>
      </c>
      <c r="L72" t="s">
        <v>1382</v>
      </c>
    </row>
    <row r="73" spans="1:12" x14ac:dyDescent="0.25">
      <c r="A73" s="3">
        <v>45304</v>
      </c>
      <c r="B73" t="s">
        <v>237</v>
      </c>
      <c r="C73" t="s">
        <v>1128</v>
      </c>
      <c r="D73" t="s">
        <v>1344</v>
      </c>
      <c r="E73" t="s">
        <v>1349</v>
      </c>
      <c r="F73" t="s">
        <v>1355</v>
      </c>
      <c r="G73" t="s">
        <v>1360</v>
      </c>
      <c r="H73" s="5">
        <v>2</v>
      </c>
      <c r="I73" s="9">
        <v>999</v>
      </c>
      <c r="J73" s="9">
        <f t="shared" si="1"/>
        <v>1998</v>
      </c>
      <c r="K73" t="s">
        <v>1379</v>
      </c>
      <c r="L73" t="s">
        <v>1382</v>
      </c>
    </row>
    <row r="74" spans="1:12" x14ac:dyDescent="0.25">
      <c r="A74" s="3">
        <v>45597</v>
      </c>
      <c r="B74" t="s">
        <v>824</v>
      </c>
      <c r="C74" t="s">
        <v>1327</v>
      </c>
      <c r="D74" t="s">
        <v>1345</v>
      </c>
      <c r="E74" t="s">
        <v>1348</v>
      </c>
      <c r="F74" t="s">
        <v>1352</v>
      </c>
      <c r="G74" t="s">
        <v>1368</v>
      </c>
      <c r="H74" s="5">
        <v>19</v>
      </c>
      <c r="I74" s="9">
        <v>499</v>
      </c>
      <c r="J74" s="9">
        <f t="shared" si="1"/>
        <v>9481</v>
      </c>
      <c r="K74" t="s">
        <v>1377</v>
      </c>
      <c r="L74" t="s">
        <v>1384</v>
      </c>
    </row>
    <row r="75" spans="1:12" x14ac:dyDescent="0.25">
      <c r="A75" s="3">
        <v>45580</v>
      </c>
      <c r="B75" t="s">
        <v>709</v>
      </c>
      <c r="C75" t="s">
        <v>1190</v>
      </c>
      <c r="D75" t="s">
        <v>1344</v>
      </c>
      <c r="E75" t="s">
        <v>1347</v>
      </c>
      <c r="F75" t="s">
        <v>1355</v>
      </c>
      <c r="G75" t="s">
        <v>1360</v>
      </c>
      <c r="H75" s="5">
        <v>21</v>
      </c>
      <c r="I75" s="9">
        <v>3499</v>
      </c>
      <c r="J75" s="9">
        <f t="shared" si="1"/>
        <v>73479</v>
      </c>
      <c r="K75" t="s">
        <v>1379</v>
      </c>
      <c r="L75" t="s">
        <v>1380</v>
      </c>
    </row>
    <row r="76" spans="1:12" x14ac:dyDescent="0.25">
      <c r="A76" s="3">
        <v>45332</v>
      </c>
      <c r="B76" t="s">
        <v>127</v>
      </c>
      <c r="C76" t="s">
        <v>1049</v>
      </c>
      <c r="D76" t="s">
        <v>1389</v>
      </c>
      <c r="E76" t="s">
        <v>1348</v>
      </c>
      <c r="F76" t="s">
        <v>1352</v>
      </c>
      <c r="G76" t="s">
        <v>1368</v>
      </c>
      <c r="H76" s="5">
        <v>33</v>
      </c>
      <c r="I76" s="9">
        <v>199</v>
      </c>
      <c r="J76" s="9">
        <f t="shared" si="1"/>
        <v>6567</v>
      </c>
      <c r="K76" t="s">
        <v>1378</v>
      </c>
      <c r="L76" t="s">
        <v>1383</v>
      </c>
    </row>
    <row r="77" spans="1:12" x14ac:dyDescent="0.25">
      <c r="A77" s="3">
        <v>45454</v>
      </c>
      <c r="B77" t="s">
        <v>319</v>
      </c>
      <c r="C77" t="s">
        <v>1182</v>
      </c>
      <c r="D77" t="s">
        <v>1345</v>
      </c>
      <c r="E77" t="s">
        <v>1350</v>
      </c>
      <c r="F77" t="s">
        <v>1353</v>
      </c>
      <c r="G77" t="s">
        <v>1367</v>
      </c>
      <c r="H77" s="5">
        <v>9</v>
      </c>
      <c r="I77" s="9">
        <v>3499</v>
      </c>
      <c r="J77" s="9">
        <f t="shared" si="1"/>
        <v>31491</v>
      </c>
      <c r="K77" t="s">
        <v>1379</v>
      </c>
      <c r="L77" t="s">
        <v>1380</v>
      </c>
    </row>
    <row r="78" spans="1:12" x14ac:dyDescent="0.25">
      <c r="A78" s="3">
        <v>45492</v>
      </c>
      <c r="B78" t="s">
        <v>451</v>
      </c>
      <c r="C78" t="s">
        <v>1268</v>
      </c>
      <c r="D78" t="s">
        <v>1389</v>
      </c>
      <c r="E78" t="s">
        <v>1350</v>
      </c>
      <c r="F78" t="s">
        <v>1354</v>
      </c>
      <c r="G78" t="s">
        <v>1366</v>
      </c>
      <c r="H78" s="5">
        <v>29</v>
      </c>
      <c r="I78" s="9">
        <v>499</v>
      </c>
      <c r="J78" s="9">
        <f t="shared" si="1"/>
        <v>14471</v>
      </c>
      <c r="K78" t="s">
        <v>1379</v>
      </c>
      <c r="L78" t="s">
        <v>1381</v>
      </c>
    </row>
    <row r="79" spans="1:12" x14ac:dyDescent="0.25">
      <c r="A79" s="3">
        <v>45553</v>
      </c>
      <c r="B79" t="s">
        <v>35</v>
      </c>
      <c r="C79" t="s">
        <v>1045</v>
      </c>
      <c r="D79" t="s">
        <v>1389</v>
      </c>
      <c r="E79" t="s">
        <v>1347</v>
      </c>
      <c r="F79" t="s">
        <v>1355</v>
      </c>
      <c r="G79" t="s">
        <v>1372</v>
      </c>
      <c r="H79" s="5">
        <v>37</v>
      </c>
      <c r="I79" s="9">
        <v>1999</v>
      </c>
      <c r="J79" s="9">
        <f t="shared" si="1"/>
        <v>73963</v>
      </c>
      <c r="K79" t="s">
        <v>1379</v>
      </c>
      <c r="L79" t="s">
        <v>1382</v>
      </c>
    </row>
    <row r="80" spans="1:12" x14ac:dyDescent="0.25">
      <c r="A80" s="3">
        <v>45633</v>
      </c>
      <c r="B80" t="s">
        <v>177</v>
      </c>
      <c r="C80" t="s">
        <v>1145</v>
      </c>
      <c r="D80" t="s">
        <v>1389</v>
      </c>
      <c r="E80" t="s">
        <v>1347</v>
      </c>
      <c r="F80" t="s">
        <v>1355</v>
      </c>
      <c r="G80" t="s">
        <v>1373</v>
      </c>
      <c r="H80" s="5">
        <v>35</v>
      </c>
      <c r="I80" s="9">
        <v>2999</v>
      </c>
      <c r="J80" s="9">
        <f t="shared" si="1"/>
        <v>104965</v>
      </c>
      <c r="K80" t="s">
        <v>1379</v>
      </c>
      <c r="L80" t="s">
        <v>1382</v>
      </c>
    </row>
    <row r="81" spans="1:12" x14ac:dyDescent="0.25">
      <c r="A81" s="3">
        <v>45522</v>
      </c>
      <c r="B81" t="s">
        <v>299</v>
      </c>
      <c r="C81" t="s">
        <v>1073</v>
      </c>
      <c r="D81" t="s">
        <v>1345</v>
      </c>
      <c r="E81" t="s">
        <v>1349</v>
      </c>
      <c r="F81" t="s">
        <v>1355</v>
      </c>
      <c r="G81" t="s">
        <v>1372</v>
      </c>
      <c r="H81" s="5">
        <v>10</v>
      </c>
      <c r="I81" s="9">
        <v>2499</v>
      </c>
      <c r="J81" s="9">
        <f t="shared" si="1"/>
        <v>24990</v>
      </c>
      <c r="K81" t="s">
        <v>1377</v>
      </c>
      <c r="L81" t="s">
        <v>1382</v>
      </c>
    </row>
    <row r="82" spans="1:12" x14ac:dyDescent="0.25">
      <c r="A82" s="3">
        <v>45312</v>
      </c>
      <c r="B82" t="s">
        <v>926</v>
      </c>
      <c r="C82" t="s">
        <v>1196</v>
      </c>
      <c r="D82" t="s">
        <v>1345</v>
      </c>
      <c r="E82" t="s">
        <v>1349</v>
      </c>
      <c r="F82" t="s">
        <v>1351</v>
      </c>
      <c r="G82" t="s">
        <v>1356</v>
      </c>
      <c r="H82" s="5">
        <v>16</v>
      </c>
      <c r="I82" s="9">
        <v>2999</v>
      </c>
      <c r="J82" s="9">
        <f t="shared" si="1"/>
        <v>47984</v>
      </c>
      <c r="K82" t="s">
        <v>1379</v>
      </c>
      <c r="L82" t="s">
        <v>1383</v>
      </c>
    </row>
    <row r="83" spans="1:12" x14ac:dyDescent="0.25">
      <c r="A83" s="3">
        <v>45478</v>
      </c>
      <c r="B83" t="s">
        <v>282</v>
      </c>
      <c r="C83" t="s">
        <v>1202</v>
      </c>
      <c r="D83" t="s">
        <v>1345</v>
      </c>
      <c r="E83" t="s">
        <v>1349</v>
      </c>
      <c r="F83" t="s">
        <v>1351</v>
      </c>
      <c r="G83" t="s">
        <v>1357</v>
      </c>
      <c r="H83" s="5">
        <v>9</v>
      </c>
      <c r="I83" s="9">
        <v>3499</v>
      </c>
      <c r="J83" s="9">
        <f t="shared" si="1"/>
        <v>31491</v>
      </c>
      <c r="K83" t="s">
        <v>1376</v>
      </c>
      <c r="L83" t="s">
        <v>1382</v>
      </c>
    </row>
    <row r="84" spans="1:12" x14ac:dyDescent="0.25">
      <c r="A84" s="3">
        <v>45636</v>
      </c>
      <c r="B84" t="s">
        <v>326</v>
      </c>
      <c r="C84" t="s">
        <v>1155</v>
      </c>
      <c r="D84" t="s">
        <v>1345</v>
      </c>
      <c r="E84" t="s">
        <v>1347</v>
      </c>
      <c r="F84" t="s">
        <v>1355</v>
      </c>
      <c r="G84" t="s">
        <v>1373</v>
      </c>
      <c r="H84" s="5">
        <v>38</v>
      </c>
      <c r="I84" s="9">
        <v>2499</v>
      </c>
      <c r="J84" s="9">
        <f t="shared" si="1"/>
        <v>94962</v>
      </c>
      <c r="K84" t="s">
        <v>1377</v>
      </c>
      <c r="L84" t="s">
        <v>1382</v>
      </c>
    </row>
    <row r="85" spans="1:12" x14ac:dyDescent="0.25">
      <c r="A85" s="3">
        <v>45613</v>
      </c>
      <c r="B85" t="s">
        <v>619</v>
      </c>
      <c r="C85" t="s">
        <v>1205</v>
      </c>
      <c r="D85" t="s">
        <v>1345</v>
      </c>
      <c r="E85" t="s">
        <v>1350</v>
      </c>
      <c r="F85" t="s">
        <v>1353</v>
      </c>
      <c r="G85" t="s">
        <v>1369</v>
      </c>
      <c r="H85" s="5">
        <v>0</v>
      </c>
      <c r="I85" s="9">
        <v>2499</v>
      </c>
      <c r="J85" s="9">
        <f t="shared" si="1"/>
        <v>0</v>
      </c>
      <c r="K85" t="s">
        <v>1379</v>
      </c>
      <c r="L85" t="s">
        <v>1384</v>
      </c>
    </row>
    <row r="86" spans="1:12" x14ac:dyDescent="0.25">
      <c r="A86" s="3">
        <v>45295</v>
      </c>
      <c r="B86" t="s">
        <v>118</v>
      </c>
      <c r="C86" t="s">
        <v>1040</v>
      </c>
      <c r="D86" t="s">
        <v>1345</v>
      </c>
      <c r="E86" t="s">
        <v>1349</v>
      </c>
      <c r="F86" t="s">
        <v>1354</v>
      </c>
      <c r="G86" t="s">
        <v>1362</v>
      </c>
      <c r="H86" s="5">
        <v>25</v>
      </c>
      <c r="I86" s="9">
        <v>199</v>
      </c>
      <c r="J86" s="9">
        <f t="shared" si="1"/>
        <v>4975</v>
      </c>
      <c r="K86" t="s">
        <v>1379</v>
      </c>
      <c r="L86" t="s">
        <v>1383</v>
      </c>
    </row>
    <row r="87" spans="1:12" x14ac:dyDescent="0.25">
      <c r="A87" s="3">
        <v>45485</v>
      </c>
      <c r="B87" t="s">
        <v>671</v>
      </c>
      <c r="C87" t="s">
        <v>1073</v>
      </c>
      <c r="D87" t="s">
        <v>1344</v>
      </c>
      <c r="E87" t="s">
        <v>1349</v>
      </c>
      <c r="F87" t="s">
        <v>1354</v>
      </c>
      <c r="G87" t="s">
        <v>1363</v>
      </c>
      <c r="H87" s="5">
        <v>5</v>
      </c>
      <c r="I87" s="9">
        <v>199</v>
      </c>
      <c r="J87" s="9">
        <f t="shared" si="1"/>
        <v>995</v>
      </c>
      <c r="K87" t="s">
        <v>1376</v>
      </c>
      <c r="L87" t="s">
        <v>1384</v>
      </c>
    </row>
    <row r="88" spans="1:12" x14ac:dyDescent="0.25">
      <c r="A88" s="3">
        <v>45336</v>
      </c>
      <c r="B88" t="s">
        <v>585</v>
      </c>
      <c r="C88" t="s">
        <v>1144</v>
      </c>
      <c r="D88" t="s">
        <v>1345</v>
      </c>
      <c r="E88" t="s">
        <v>1350</v>
      </c>
      <c r="F88" t="s">
        <v>1353</v>
      </c>
      <c r="G88" t="s">
        <v>1359</v>
      </c>
      <c r="H88" s="5">
        <v>36</v>
      </c>
      <c r="I88" s="9">
        <v>999</v>
      </c>
      <c r="J88" s="9">
        <f t="shared" si="1"/>
        <v>35964</v>
      </c>
      <c r="K88" t="s">
        <v>1379</v>
      </c>
      <c r="L88" t="s">
        <v>1384</v>
      </c>
    </row>
    <row r="89" spans="1:12" x14ac:dyDescent="0.25">
      <c r="A89" s="3">
        <v>45387</v>
      </c>
      <c r="B89" t="s">
        <v>798</v>
      </c>
      <c r="C89" t="s">
        <v>1274</v>
      </c>
      <c r="D89" t="s">
        <v>1344</v>
      </c>
      <c r="E89" t="s">
        <v>1349</v>
      </c>
      <c r="F89" t="s">
        <v>1351</v>
      </c>
      <c r="G89" t="s">
        <v>1371</v>
      </c>
      <c r="H89" s="5">
        <v>24</v>
      </c>
      <c r="I89" s="9">
        <v>1499</v>
      </c>
      <c r="J89" s="9">
        <f t="shared" si="1"/>
        <v>35976</v>
      </c>
      <c r="K89" t="s">
        <v>1377</v>
      </c>
      <c r="L89" t="s">
        <v>1382</v>
      </c>
    </row>
    <row r="90" spans="1:12" x14ac:dyDescent="0.25">
      <c r="A90" s="3">
        <v>45304</v>
      </c>
      <c r="B90" t="s">
        <v>964</v>
      </c>
      <c r="C90" t="s">
        <v>1124</v>
      </c>
      <c r="D90" t="s">
        <v>1345</v>
      </c>
      <c r="E90" t="s">
        <v>1349</v>
      </c>
      <c r="F90" t="s">
        <v>1355</v>
      </c>
      <c r="G90" t="s">
        <v>1374</v>
      </c>
      <c r="H90" s="5">
        <v>44</v>
      </c>
      <c r="I90" s="9">
        <v>1999</v>
      </c>
      <c r="J90" s="9">
        <f t="shared" si="1"/>
        <v>87956</v>
      </c>
      <c r="K90" t="s">
        <v>1379</v>
      </c>
      <c r="L90" t="s">
        <v>1380</v>
      </c>
    </row>
    <row r="91" spans="1:12" x14ac:dyDescent="0.25">
      <c r="A91" s="3">
        <v>45433</v>
      </c>
      <c r="B91" t="s">
        <v>663</v>
      </c>
      <c r="C91" t="s">
        <v>1158</v>
      </c>
      <c r="D91" t="s">
        <v>1345</v>
      </c>
      <c r="E91" t="s">
        <v>1349</v>
      </c>
      <c r="F91" t="s">
        <v>1351</v>
      </c>
      <c r="G91" t="s">
        <v>1356</v>
      </c>
      <c r="H91" s="5">
        <v>19</v>
      </c>
      <c r="I91" s="9">
        <v>499</v>
      </c>
      <c r="J91" s="9">
        <f t="shared" si="1"/>
        <v>9481</v>
      </c>
      <c r="K91" t="s">
        <v>1378</v>
      </c>
      <c r="L91" t="s">
        <v>1382</v>
      </c>
    </row>
    <row r="92" spans="1:12" x14ac:dyDescent="0.25">
      <c r="A92" s="3">
        <v>45575</v>
      </c>
      <c r="B92" t="s">
        <v>225</v>
      </c>
      <c r="C92" t="s">
        <v>1054</v>
      </c>
      <c r="D92" t="s">
        <v>1344</v>
      </c>
      <c r="E92" t="s">
        <v>1348</v>
      </c>
      <c r="F92" t="s">
        <v>1351</v>
      </c>
      <c r="G92" t="s">
        <v>1356</v>
      </c>
      <c r="H92" s="5">
        <v>15</v>
      </c>
      <c r="I92" s="9">
        <v>2499</v>
      </c>
      <c r="J92" s="9">
        <f t="shared" si="1"/>
        <v>37485</v>
      </c>
      <c r="K92" t="s">
        <v>1377</v>
      </c>
      <c r="L92" t="s">
        <v>1381</v>
      </c>
    </row>
    <row r="93" spans="1:12" x14ac:dyDescent="0.25">
      <c r="A93" s="3">
        <v>45435</v>
      </c>
      <c r="B93" t="s">
        <v>857</v>
      </c>
      <c r="C93" t="s">
        <v>1098</v>
      </c>
      <c r="D93" t="s">
        <v>1345</v>
      </c>
      <c r="E93" t="s">
        <v>1347</v>
      </c>
      <c r="F93" t="s">
        <v>1351</v>
      </c>
      <c r="G93" t="s">
        <v>1356</v>
      </c>
      <c r="H93" s="5">
        <v>14</v>
      </c>
      <c r="I93" s="9">
        <v>1878</v>
      </c>
      <c r="J93" s="9">
        <f t="shared" si="1"/>
        <v>26292</v>
      </c>
      <c r="K93" t="s">
        <v>1376</v>
      </c>
      <c r="L93" t="s">
        <v>1380</v>
      </c>
    </row>
    <row r="94" spans="1:12" x14ac:dyDescent="0.25">
      <c r="A94" s="3">
        <v>45361</v>
      </c>
      <c r="B94" t="s">
        <v>628</v>
      </c>
      <c r="C94" t="s">
        <v>1077</v>
      </c>
      <c r="D94" t="s">
        <v>1345</v>
      </c>
      <c r="E94" t="s">
        <v>1347</v>
      </c>
      <c r="F94" t="s">
        <v>1354</v>
      </c>
      <c r="G94" t="s">
        <v>1362</v>
      </c>
      <c r="H94" s="5">
        <v>45</v>
      </c>
      <c r="I94" s="9">
        <v>499</v>
      </c>
      <c r="J94" s="9">
        <f t="shared" si="1"/>
        <v>22455</v>
      </c>
      <c r="K94" t="s">
        <v>1379</v>
      </c>
      <c r="L94" t="s">
        <v>1382</v>
      </c>
    </row>
    <row r="95" spans="1:12" x14ac:dyDescent="0.25">
      <c r="A95" s="3">
        <v>45597</v>
      </c>
      <c r="B95" t="s">
        <v>545</v>
      </c>
      <c r="C95" t="s">
        <v>1234</v>
      </c>
      <c r="D95" t="s">
        <v>1389</v>
      </c>
      <c r="E95" t="s">
        <v>1346</v>
      </c>
      <c r="F95" t="s">
        <v>1355</v>
      </c>
      <c r="G95" t="s">
        <v>1374</v>
      </c>
      <c r="H95" s="5">
        <v>24</v>
      </c>
      <c r="I95" s="9">
        <v>199</v>
      </c>
      <c r="J95" s="9">
        <f t="shared" si="1"/>
        <v>4776</v>
      </c>
      <c r="K95" t="s">
        <v>1379</v>
      </c>
      <c r="L95" t="s">
        <v>1381</v>
      </c>
    </row>
    <row r="96" spans="1:12" x14ac:dyDescent="0.25">
      <c r="A96" s="3">
        <v>45602</v>
      </c>
      <c r="B96" t="s">
        <v>142</v>
      </c>
      <c r="C96" t="s">
        <v>1125</v>
      </c>
      <c r="D96" t="s">
        <v>1345</v>
      </c>
      <c r="E96" t="s">
        <v>1349</v>
      </c>
      <c r="F96" t="s">
        <v>1353</v>
      </c>
      <c r="G96" t="s">
        <v>1367</v>
      </c>
      <c r="H96" s="5">
        <v>13</v>
      </c>
      <c r="I96" s="9">
        <v>3499</v>
      </c>
      <c r="J96" s="9">
        <f t="shared" si="1"/>
        <v>45487</v>
      </c>
      <c r="K96" t="s">
        <v>1378</v>
      </c>
      <c r="L96" t="s">
        <v>1383</v>
      </c>
    </row>
    <row r="97" spans="1:12" x14ac:dyDescent="0.25">
      <c r="A97" s="3">
        <v>45549</v>
      </c>
      <c r="B97" t="s">
        <v>506</v>
      </c>
      <c r="C97" t="s">
        <v>1143</v>
      </c>
      <c r="D97" t="s">
        <v>1345</v>
      </c>
      <c r="E97" t="s">
        <v>1349</v>
      </c>
      <c r="F97" t="s">
        <v>1354</v>
      </c>
      <c r="G97" t="s">
        <v>1361</v>
      </c>
      <c r="H97" s="5">
        <v>7</v>
      </c>
      <c r="I97" s="9">
        <v>199</v>
      </c>
      <c r="J97" s="9">
        <f t="shared" si="1"/>
        <v>1393</v>
      </c>
      <c r="K97" t="s">
        <v>1378</v>
      </c>
      <c r="L97" t="s">
        <v>1382</v>
      </c>
    </row>
    <row r="98" spans="1:12" x14ac:dyDescent="0.25">
      <c r="A98" s="3">
        <v>45427</v>
      </c>
      <c r="B98" t="s">
        <v>554</v>
      </c>
      <c r="C98" t="s">
        <v>1086</v>
      </c>
      <c r="D98" t="s">
        <v>1345</v>
      </c>
      <c r="E98" t="s">
        <v>1350</v>
      </c>
      <c r="F98" t="s">
        <v>1355</v>
      </c>
      <c r="G98" t="s">
        <v>1360</v>
      </c>
      <c r="H98" s="5">
        <v>6</v>
      </c>
      <c r="I98" s="9">
        <v>1999</v>
      </c>
      <c r="J98" s="9">
        <f t="shared" si="1"/>
        <v>11994</v>
      </c>
      <c r="K98" t="s">
        <v>1377</v>
      </c>
      <c r="L98" t="s">
        <v>1382</v>
      </c>
    </row>
    <row r="99" spans="1:12" x14ac:dyDescent="0.25">
      <c r="A99" s="3">
        <v>45646</v>
      </c>
      <c r="B99" t="s">
        <v>747</v>
      </c>
      <c r="C99" t="s">
        <v>1132</v>
      </c>
      <c r="D99" t="s">
        <v>1345</v>
      </c>
      <c r="E99" t="s">
        <v>1349</v>
      </c>
      <c r="F99" t="s">
        <v>1352</v>
      </c>
      <c r="G99" t="s">
        <v>1368</v>
      </c>
      <c r="H99" s="5">
        <v>30</v>
      </c>
      <c r="I99" s="9">
        <v>2999</v>
      </c>
      <c r="J99" s="9">
        <f t="shared" si="1"/>
        <v>89970</v>
      </c>
      <c r="K99" t="s">
        <v>1379</v>
      </c>
      <c r="L99" t="s">
        <v>1383</v>
      </c>
    </row>
    <row r="100" spans="1:12" x14ac:dyDescent="0.25">
      <c r="A100" s="3">
        <v>45544</v>
      </c>
      <c r="B100" t="s">
        <v>174</v>
      </c>
      <c r="C100" t="s">
        <v>1142</v>
      </c>
      <c r="D100" t="s">
        <v>1345</v>
      </c>
      <c r="E100" t="s">
        <v>1349</v>
      </c>
      <c r="F100" t="s">
        <v>1352</v>
      </c>
      <c r="G100" t="s">
        <v>1364</v>
      </c>
      <c r="H100" s="5">
        <v>31</v>
      </c>
      <c r="I100" s="9">
        <v>1624</v>
      </c>
      <c r="J100" s="9">
        <f t="shared" si="1"/>
        <v>50344</v>
      </c>
      <c r="K100" t="s">
        <v>1379</v>
      </c>
      <c r="L100" t="s">
        <v>1383</v>
      </c>
    </row>
    <row r="101" spans="1:12" x14ac:dyDescent="0.25">
      <c r="A101" s="3">
        <v>45571</v>
      </c>
      <c r="B101" t="s">
        <v>1018</v>
      </c>
      <c r="C101" t="s">
        <v>1319</v>
      </c>
      <c r="D101" t="s">
        <v>1344</v>
      </c>
      <c r="E101" t="s">
        <v>1347</v>
      </c>
      <c r="F101" t="s">
        <v>1352</v>
      </c>
      <c r="G101" t="s">
        <v>1364</v>
      </c>
      <c r="H101" s="5">
        <v>34</v>
      </c>
      <c r="I101" s="9">
        <v>1499</v>
      </c>
      <c r="J101" s="9">
        <f t="shared" si="1"/>
        <v>50966</v>
      </c>
      <c r="K101" t="s">
        <v>1379</v>
      </c>
      <c r="L101" t="s">
        <v>1380</v>
      </c>
    </row>
    <row r="102" spans="1:12" x14ac:dyDescent="0.25">
      <c r="A102" s="3">
        <v>45345</v>
      </c>
      <c r="B102" t="s">
        <v>924</v>
      </c>
      <c r="C102" t="s">
        <v>1330</v>
      </c>
      <c r="D102" t="s">
        <v>1344</v>
      </c>
      <c r="E102" t="s">
        <v>1349</v>
      </c>
      <c r="F102" t="s">
        <v>1354</v>
      </c>
      <c r="G102" t="s">
        <v>1362</v>
      </c>
      <c r="H102" s="5">
        <v>11</v>
      </c>
      <c r="I102" s="9">
        <v>3499</v>
      </c>
      <c r="J102" s="9">
        <f t="shared" si="1"/>
        <v>38489</v>
      </c>
      <c r="K102" t="s">
        <v>1377</v>
      </c>
      <c r="L102" t="s">
        <v>1382</v>
      </c>
    </row>
    <row r="103" spans="1:12" x14ac:dyDescent="0.25">
      <c r="A103" s="3">
        <v>45564</v>
      </c>
      <c r="B103" t="s">
        <v>364</v>
      </c>
      <c r="C103" t="s">
        <v>1077</v>
      </c>
      <c r="D103" t="s">
        <v>1389</v>
      </c>
      <c r="E103" t="s">
        <v>1347</v>
      </c>
      <c r="F103" t="s">
        <v>1355</v>
      </c>
      <c r="G103" t="s">
        <v>1374</v>
      </c>
      <c r="H103" s="5">
        <v>33</v>
      </c>
      <c r="I103" s="9">
        <v>2499</v>
      </c>
      <c r="J103" s="9">
        <f t="shared" si="1"/>
        <v>82467</v>
      </c>
      <c r="K103" t="s">
        <v>1377</v>
      </c>
      <c r="L103" t="s">
        <v>1381</v>
      </c>
    </row>
    <row r="104" spans="1:12" x14ac:dyDescent="0.25">
      <c r="A104" s="3">
        <v>45637</v>
      </c>
      <c r="B104" t="s">
        <v>438</v>
      </c>
      <c r="C104" t="s">
        <v>1263</v>
      </c>
      <c r="D104" t="s">
        <v>1344</v>
      </c>
      <c r="E104" t="s">
        <v>1349</v>
      </c>
      <c r="F104" t="s">
        <v>1351</v>
      </c>
      <c r="G104" t="s">
        <v>1356</v>
      </c>
      <c r="H104" s="5">
        <v>19</v>
      </c>
      <c r="I104" s="9">
        <v>1999</v>
      </c>
      <c r="J104" s="9">
        <f t="shared" si="1"/>
        <v>37981</v>
      </c>
      <c r="K104" t="s">
        <v>1379</v>
      </c>
      <c r="L104" t="s">
        <v>1384</v>
      </c>
    </row>
    <row r="105" spans="1:12" x14ac:dyDescent="0.25">
      <c r="A105" s="3">
        <v>45617</v>
      </c>
      <c r="B105" t="s">
        <v>348</v>
      </c>
      <c r="C105" t="s">
        <v>1104</v>
      </c>
      <c r="D105" t="s">
        <v>1345</v>
      </c>
      <c r="E105" t="s">
        <v>1347</v>
      </c>
      <c r="F105" t="s">
        <v>1351</v>
      </c>
      <c r="G105" t="s">
        <v>1357</v>
      </c>
      <c r="H105" s="5">
        <v>42</v>
      </c>
      <c r="I105" s="9">
        <v>1878</v>
      </c>
      <c r="J105" s="9">
        <f t="shared" si="1"/>
        <v>78876</v>
      </c>
      <c r="K105" t="s">
        <v>1377</v>
      </c>
      <c r="L105" t="s">
        <v>1384</v>
      </c>
    </row>
    <row r="106" spans="1:12" x14ac:dyDescent="0.25">
      <c r="A106" s="3">
        <v>45528</v>
      </c>
      <c r="B106" t="s">
        <v>13</v>
      </c>
      <c r="C106" t="s">
        <v>1025</v>
      </c>
      <c r="D106" t="s">
        <v>1344</v>
      </c>
      <c r="E106" t="s">
        <v>1347</v>
      </c>
      <c r="F106" t="s">
        <v>1351</v>
      </c>
      <c r="G106" t="s">
        <v>1357</v>
      </c>
      <c r="H106" s="5">
        <v>35</v>
      </c>
      <c r="I106" s="9">
        <v>199</v>
      </c>
      <c r="J106" s="9">
        <f t="shared" si="1"/>
        <v>6965</v>
      </c>
      <c r="K106" t="s">
        <v>1376</v>
      </c>
      <c r="L106" t="s">
        <v>1382</v>
      </c>
    </row>
    <row r="107" spans="1:12" x14ac:dyDescent="0.25">
      <c r="A107" s="3">
        <v>45520</v>
      </c>
      <c r="B107" t="s">
        <v>975</v>
      </c>
      <c r="C107" t="s">
        <v>1089</v>
      </c>
      <c r="D107" t="s">
        <v>1344</v>
      </c>
      <c r="E107" t="s">
        <v>1349</v>
      </c>
      <c r="F107" t="s">
        <v>1355</v>
      </c>
      <c r="G107" t="s">
        <v>1360</v>
      </c>
      <c r="H107" s="5">
        <v>40</v>
      </c>
      <c r="I107" s="9">
        <v>999</v>
      </c>
      <c r="J107" s="9">
        <f t="shared" si="1"/>
        <v>39960</v>
      </c>
      <c r="K107" t="s">
        <v>1379</v>
      </c>
      <c r="L107" t="s">
        <v>1384</v>
      </c>
    </row>
    <row r="108" spans="1:12" x14ac:dyDescent="0.25">
      <c r="A108" s="3">
        <v>45621</v>
      </c>
      <c r="B108" t="s">
        <v>567</v>
      </c>
      <c r="C108" t="s">
        <v>1064</v>
      </c>
      <c r="D108" t="s">
        <v>1389</v>
      </c>
      <c r="E108" t="s">
        <v>1346</v>
      </c>
      <c r="F108" t="s">
        <v>1352</v>
      </c>
      <c r="G108" t="s">
        <v>1358</v>
      </c>
      <c r="H108" s="5">
        <v>24</v>
      </c>
      <c r="I108" s="9">
        <v>2999</v>
      </c>
      <c r="J108" s="9">
        <f t="shared" si="1"/>
        <v>71976</v>
      </c>
      <c r="K108" t="s">
        <v>1379</v>
      </c>
      <c r="L108" t="s">
        <v>1384</v>
      </c>
    </row>
    <row r="109" spans="1:12" x14ac:dyDescent="0.25">
      <c r="A109" s="3">
        <v>45353</v>
      </c>
      <c r="B109" t="s">
        <v>28</v>
      </c>
      <c r="C109" t="s">
        <v>1034</v>
      </c>
      <c r="D109" t="s">
        <v>1344</v>
      </c>
      <c r="E109" t="s">
        <v>1349</v>
      </c>
      <c r="F109" t="s">
        <v>1351</v>
      </c>
      <c r="G109" t="s">
        <v>1357</v>
      </c>
      <c r="H109" s="5">
        <v>9</v>
      </c>
      <c r="I109" s="9">
        <v>1499</v>
      </c>
      <c r="J109" s="9">
        <f t="shared" si="1"/>
        <v>13491</v>
      </c>
      <c r="K109" t="s">
        <v>1378</v>
      </c>
      <c r="L109" t="s">
        <v>1380</v>
      </c>
    </row>
    <row r="110" spans="1:12" x14ac:dyDescent="0.25">
      <c r="A110" s="3">
        <v>45627</v>
      </c>
      <c r="B110" t="s">
        <v>525</v>
      </c>
      <c r="C110" t="s">
        <v>1053</v>
      </c>
      <c r="D110" t="s">
        <v>1389</v>
      </c>
      <c r="E110" t="s">
        <v>1349</v>
      </c>
      <c r="F110" t="s">
        <v>1355</v>
      </c>
      <c r="G110" t="s">
        <v>1360</v>
      </c>
      <c r="H110" s="5">
        <v>32</v>
      </c>
      <c r="I110" s="9">
        <v>1999</v>
      </c>
      <c r="J110" s="9">
        <f t="shared" si="1"/>
        <v>63968</v>
      </c>
      <c r="K110" t="s">
        <v>1378</v>
      </c>
      <c r="L110" t="s">
        <v>1381</v>
      </c>
    </row>
    <row r="111" spans="1:12" x14ac:dyDescent="0.25">
      <c r="A111" s="3">
        <v>45607</v>
      </c>
      <c r="B111" t="s">
        <v>527</v>
      </c>
      <c r="C111" t="s">
        <v>1214</v>
      </c>
      <c r="D111" t="s">
        <v>1344</v>
      </c>
      <c r="E111" t="s">
        <v>1349</v>
      </c>
      <c r="F111" t="s">
        <v>1353</v>
      </c>
      <c r="G111" t="s">
        <v>1369</v>
      </c>
      <c r="H111" s="5">
        <v>43</v>
      </c>
      <c r="I111" s="9">
        <v>3499</v>
      </c>
      <c r="J111" s="9">
        <f t="shared" si="1"/>
        <v>150457</v>
      </c>
      <c r="K111" t="s">
        <v>1379</v>
      </c>
      <c r="L111" t="s">
        <v>1384</v>
      </c>
    </row>
    <row r="112" spans="1:12" x14ac:dyDescent="0.25">
      <c r="A112" s="3">
        <v>45584</v>
      </c>
      <c r="B112" t="s">
        <v>374</v>
      </c>
      <c r="C112" t="s">
        <v>1240</v>
      </c>
      <c r="D112" t="s">
        <v>1345</v>
      </c>
      <c r="E112" t="s">
        <v>1349</v>
      </c>
      <c r="F112" t="s">
        <v>1354</v>
      </c>
      <c r="G112" t="s">
        <v>1363</v>
      </c>
      <c r="H112" s="5">
        <v>29</v>
      </c>
      <c r="I112" s="9">
        <v>3499</v>
      </c>
      <c r="J112" s="9">
        <f t="shared" si="1"/>
        <v>101471</v>
      </c>
      <c r="K112" t="s">
        <v>1379</v>
      </c>
      <c r="L112" t="s">
        <v>1382</v>
      </c>
    </row>
    <row r="113" spans="1:12" x14ac:dyDescent="0.25">
      <c r="A113" s="3">
        <v>45300</v>
      </c>
      <c r="B113" t="s">
        <v>608</v>
      </c>
      <c r="C113" t="s">
        <v>1305</v>
      </c>
      <c r="D113" t="s">
        <v>1345</v>
      </c>
      <c r="E113" t="s">
        <v>1349</v>
      </c>
      <c r="F113" t="s">
        <v>1353</v>
      </c>
      <c r="G113" t="s">
        <v>1367</v>
      </c>
      <c r="H113" s="5">
        <v>27</v>
      </c>
      <c r="I113" s="9">
        <v>3499</v>
      </c>
      <c r="J113" s="9">
        <f t="shared" si="1"/>
        <v>94473</v>
      </c>
      <c r="K113" t="s">
        <v>1377</v>
      </c>
      <c r="L113" t="s">
        <v>1380</v>
      </c>
    </row>
    <row r="114" spans="1:12" x14ac:dyDescent="0.25">
      <c r="A114" s="3">
        <v>45436</v>
      </c>
      <c r="B114" t="s">
        <v>794</v>
      </c>
      <c r="C114" t="s">
        <v>1049</v>
      </c>
      <c r="D114" t="s">
        <v>1344</v>
      </c>
      <c r="E114" t="s">
        <v>1347</v>
      </c>
      <c r="F114" t="s">
        <v>1354</v>
      </c>
      <c r="G114" t="s">
        <v>1363</v>
      </c>
      <c r="H114" s="5">
        <v>42</v>
      </c>
      <c r="I114" s="9">
        <v>1999</v>
      </c>
      <c r="J114" s="9">
        <f t="shared" si="1"/>
        <v>83958</v>
      </c>
      <c r="K114" t="s">
        <v>1378</v>
      </c>
      <c r="L114" t="s">
        <v>1380</v>
      </c>
    </row>
    <row r="115" spans="1:12" x14ac:dyDescent="0.25">
      <c r="A115" s="3">
        <v>45417</v>
      </c>
      <c r="B115" t="s">
        <v>881</v>
      </c>
      <c r="C115" t="s">
        <v>1122</v>
      </c>
      <c r="D115" t="s">
        <v>1345</v>
      </c>
      <c r="E115" t="s">
        <v>1347</v>
      </c>
      <c r="F115" t="s">
        <v>1352</v>
      </c>
      <c r="G115" t="s">
        <v>1358</v>
      </c>
      <c r="H115" s="5">
        <v>26</v>
      </c>
      <c r="I115" s="9">
        <v>1499</v>
      </c>
      <c r="J115" s="9">
        <f t="shared" si="1"/>
        <v>38974</v>
      </c>
      <c r="K115" t="s">
        <v>1379</v>
      </c>
      <c r="L115" t="s">
        <v>1382</v>
      </c>
    </row>
    <row r="116" spans="1:12" x14ac:dyDescent="0.25">
      <c r="A116" s="3">
        <v>45395</v>
      </c>
      <c r="B116" t="s">
        <v>518</v>
      </c>
      <c r="C116" t="s">
        <v>1221</v>
      </c>
      <c r="D116" t="s">
        <v>1344</v>
      </c>
      <c r="E116" t="s">
        <v>1348</v>
      </c>
      <c r="F116" t="s">
        <v>1353</v>
      </c>
      <c r="G116" t="s">
        <v>1367</v>
      </c>
      <c r="H116" s="5">
        <v>11</v>
      </c>
      <c r="I116" s="9">
        <v>2499</v>
      </c>
      <c r="J116" s="9">
        <f t="shared" si="1"/>
        <v>27489</v>
      </c>
      <c r="K116" t="s">
        <v>1379</v>
      </c>
      <c r="L116" t="s">
        <v>1382</v>
      </c>
    </row>
    <row r="117" spans="1:12" x14ac:dyDescent="0.25">
      <c r="A117" s="3">
        <v>45574</v>
      </c>
      <c r="B117" t="s">
        <v>23</v>
      </c>
      <c r="C117" t="s">
        <v>1035</v>
      </c>
      <c r="D117" t="s">
        <v>1345</v>
      </c>
      <c r="E117" t="s">
        <v>1348</v>
      </c>
      <c r="F117" t="s">
        <v>1352</v>
      </c>
      <c r="G117" t="s">
        <v>1364</v>
      </c>
      <c r="H117" s="5">
        <v>5</v>
      </c>
      <c r="I117" s="9">
        <v>999</v>
      </c>
      <c r="J117" s="9">
        <f t="shared" si="1"/>
        <v>4995</v>
      </c>
      <c r="K117" t="s">
        <v>1376</v>
      </c>
      <c r="L117" t="s">
        <v>1380</v>
      </c>
    </row>
    <row r="118" spans="1:12" x14ac:dyDescent="0.25">
      <c r="A118" s="3">
        <v>45437</v>
      </c>
      <c r="B118" t="s">
        <v>551</v>
      </c>
      <c r="C118" t="s">
        <v>1203</v>
      </c>
      <c r="D118" t="s">
        <v>1389</v>
      </c>
      <c r="E118" t="s">
        <v>1346</v>
      </c>
      <c r="F118" t="s">
        <v>1352</v>
      </c>
      <c r="G118" t="s">
        <v>1368</v>
      </c>
      <c r="H118" s="5">
        <v>15</v>
      </c>
      <c r="I118" s="9">
        <v>1999</v>
      </c>
      <c r="J118" s="9">
        <f t="shared" si="1"/>
        <v>29985</v>
      </c>
      <c r="K118" t="s">
        <v>1379</v>
      </c>
      <c r="L118" t="s">
        <v>1383</v>
      </c>
    </row>
    <row r="119" spans="1:12" x14ac:dyDescent="0.25">
      <c r="A119" s="3">
        <v>45317</v>
      </c>
      <c r="B119" t="s">
        <v>182</v>
      </c>
      <c r="C119" t="s">
        <v>1114</v>
      </c>
      <c r="D119" t="s">
        <v>1389</v>
      </c>
      <c r="E119" t="s">
        <v>1350</v>
      </c>
      <c r="F119" t="s">
        <v>1353</v>
      </c>
      <c r="G119" t="s">
        <v>1365</v>
      </c>
      <c r="H119" s="5">
        <v>4</v>
      </c>
      <c r="I119" s="9">
        <v>1845</v>
      </c>
      <c r="J119" s="9">
        <f t="shared" si="1"/>
        <v>7380</v>
      </c>
      <c r="K119" t="s">
        <v>1376</v>
      </c>
      <c r="L119" t="s">
        <v>1381</v>
      </c>
    </row>
    <row r="120" spans="1:12" x14ac:dyDescent="0.25">
      <c r="A120" s="3">
        <v>45419</v>
      </c>
      <c r="B120" t="s">
        <v>22</v>
      </c>
      <c r="C120" t="s">
        <v>1034</v>
      </c>
      <c r="D120" t="s">
        <v>1344</v>
      </c>
      <c r="E120" t="s">
        <v>1348</v>
      </c>
      <c r="F120" t="s">
        <v>1354</v>
      </c>
      <c r="G120" t="s">
        <v>1363</v>
      </c>
      <c r="H120" s="5">
        <v>14</v>
      </c>
      <c r="I120" s="9">
        <v>999</v>
      </c>
      <c r="J120" s="9">
        <f t="shared" si="1"/>
        <v>13986</v>
      </c>
      <c r="K120" t="s">
        <v>1379</v>
      </c>
      <c r="L120" t="s">
        <v>1384</v>
      </c>
    </row>
    <row r="121" spans="1:12" x14ac:dyDescent="0.25">
      <c r="A121" s="3">
        <v>45652</v>
      </c>
      <c r="B121" t="s">
        <v>85</v>
      </c>
      <c r="C121" t="s">
        <v>1027</v>
      </c>
      <c r="D121" t="s">
        <v>1389</v>
      </c>
      <c r="E121" t="s">
        <v>1349</v>
      </c>
      <c r="F121" t="s">
        <v>1352</v>
      </c>
      <c r="G121" t="s">
        <v>1368</v>
      </c>
      <c r="H121" s="5">
        <v>26</v>
      </c>
      <c r="I121" s="9">
        <v>999</v>
      </c>
      <c r="J121" s="9">
        <f t="shared" si="1"/>
        <v>25974</v>
      </c>
      <c r="K121" t="s">
        <v>1379</v>
      </c>
      <c r="L121" t="s">
        <v>1382</v>
      </c>
    </row>
    <row r="122" spans="1:12" x14ac:dyDescent="0.25">
      <c r="A122" s="3">
        <v>45294</v>
      </c>
      <c r="B122" t="s">
        <v>713</v>
      </c>
      <c r="C122" t="s">
        <v>1308</v>
      </c>
      <c r="D122" t="s">
        <v>1389</v>
      </c>
      <c r="E122" t="s">
        <v>1349</v>
      </c>
      <c r="F122" t="s">
        <v>1353</v>
      </c>
      <c r="G122" t="s">
        <v>1369</v>
      </c>
      <c r="H122" s="5">
        <v>1</v>
      </c>
      <c r="I122" s="9">
        <v>199</v>
      </c>
      <c r="J122" s="9">
        <f t="shared" si="1"/>
        <v>199</v>
      </c>
      <c r="K122" t="s">
        <v>1377</v>
      </c>
      <c r="L122" t="s">
        <v>1380</v>
      </c>
    </row>
    <row r="123" spans="1:12" x14ac:dyDescent="0.25">
      <c r="A123" s="3">
        <v>45632</v>
      </c>
      <c r="B123" t="s">
        <v>1000</v>
      </c>
      <c r="C123" t="s">
        <v>1269</v>
      </c>
      <c r="D123" t="s">
        <v>1345</v>
      </c>
      <c r="E123" t="s">
        <v>1347</v>
      </c>
      <c r="F123" t="s">
        <v>1355</v>
      </c>
      <c r="G123" t="s">
        <v>1373</v>
      </c>
      <c r="H123" s="5">
        <v>33</v>
      </c>
      <c r="I123" s="9">
        <v>1999</v>
      </c>
      <c r="J123" s="9">
        <f t="shared" si="1"/>
        <v>65967</v>
      </c>
      <c r="K123" t="s">
        <v>1376</v>
      </c>
      <c r="L123" t="s">
        <v>1382</v>
      </c>
    </row>
    <row r="124" spans="1:12" x14ac:dyDescent="0.25">
      <c r="A124" s="3">
        <v>45619</v>
      </c>
      <c r="B124" t="s">
        <v>939</v>
      </c>
      <c r="C124" t="s">
        <v>1338</v>
      </c>
      <c r="D124" t="s">
        <v>1344</v>
      </c>
      <c r="E124" t="s">
        <v>1347</v>
      </c>
      <c r="F124" t="s">
        <v>1352</v>
      </c>
      <c r="G124" t="s">
        <v>1375</v>
      </c>
      <c r="H124" s="5">
        <v>7</v>
      </c>
      <c r="I124" s="9">
        <v>999</v>
      </c>
      <c r="J124" s="9">
        <f t="shared" si="1"/>
        <v>6993</v>
      </c>
      <c r="K124" t="s">
        <v>1377</v>
      </c>
      <c r="L124" t="s">
        <v>1383</v>
      </c>
    </row>
    <row r="125" spans="1:12" x14ac:dyDescent="0.25">
      <c r="A125" s="3">
        <v>45349</v>
      </c>
      <c r="B125" t="s">
        <v>872</v>
      </c>
      <c r="C125" t="s">
        <v>1333</v>
      </c>
      <c r="D125" t="s">
        <v>1389</v>
      </c>
      <c r="E125" t="s">
        <v>1349</v>
      </c>
      <c r="F125" t="s">
        <v>1352</v>
      </c>
      <c r="G125" t="s">
        <v>1364</v>
      </c>
      <c r="H125" s="5">
        <v>9</v>
      </c>
      <c r="I125" s="9">
        <v>2999</v>
      </c>
      <c r="J125" s="9">
        <f t="shared" si="1"/>
        <v>26991</v>
      </c>
      <c r="K125" t="s">
        <v>1379</v>
      </c>
      <c r="L125" t="s">
        <v>1384</v>
      </c>
    </row>
    <row r="126" spans="1:12" x14ac:dyDescent="0.25">
      <c r="A126" s="3">
        <v>45301</v>
      </c>
      <c r="B126" t="s">
        <v>330</v>
      </c>
      <c r="C126" t="s">
        <v>1219</v>
      </c>
      <c r="D126" t="s">
        <v>1344</v>
      </c>
      <c r="E126" t="s">
        <v>1349</v>
      </c>
      <c r="F126" t="s">
        <v>1354</v>
      </c>
      <c r="G126" t="s">
        <v>1362</v>
      </c>
      <c r="H126" s="5">
        <v>46</v>
      </c>
      <c r="I126" s="9">
        <v>1499</v>
      </c>
      <c r="J126" s="9">
        <f t="shared" si="1"/>
        <v>68954</v>
      </c>
      <c r="K126" t="s">
        <v>1379</v>
      </c>
      <c r="L126" t="s">
        <v>1384</v>
      </c>
    </row>
    <row r="127" spans="1:12" x14ac:dyDescent="0.25">
      <c r="A127" s="3">
        <v>45458</v>
      </c>
      <c r="B127" t="s">
        <v>767</v>
      </c>
      <c r="C127" t="s">
        <v>1211</v>
      </c>
      <c r="D127" t="s">
        <v>1345</v>
      </c>
      <c r="E127" t="s">
        <v>1349</v>
      </c>
      <c r="F127" t="s">
        <v>1352</v>
      </c>
      <c r="G127" t="s">
        <v>1368</v>
      </c>
      <c r="H127" s="5">
        <v>20</v>
      </c>
      <c r="I127" s="9">
        <v>2999</v>
      </c>
      <c r="J127" s="9">
        <f t="shared" si="1"/>
        <v>59980</v>
      </c>
      <c r="K127" t="s">
        <v>1379</v>
      </c>
      <c r="L127" t="s">
        <v>1382</v>
      </c>
    </row>
    <row r="128" spans="1:12" x14ac:dyDescent="0.25">
      <c r="A128" s="3">
        <v>45633</v>
      </c>
      <c r="B128" t="s">
        <v>849</v>
      </c>
      <c r="C128" t="s">
        <v>1331</v>
      </c>
      <c r="D128" t="s">
        <v>1345</v>
      </c>
      <c r="E128" t="s">
        <v>1349</v>
      </c>
      <c r="F128" t="s">
        <v>1351</v>
      </c>
      <c r="G128" t="s">
        <v>1370</v>
      </c>
      <c r="H128" s="5">
        <v>44</v>
      </c>
      <c r="I128" s="9">
        <v>499</v>
      </c>
      <c r="J128" s="9">
        <f t="shared" si="1"/>
        <v>21956</v>
      </c>
      <c r="K128" t="s">
        <v>1379</v>
      </c>
      <c r="L128" t="s">
        <v>1380</v>
      </c>
    </row>
    <row r="129" spans="1:12" x14ac:dyDescent="0.25">
      <c r="A129" s="3">
        <v>45354</v>
      </c>
      <c r="B129" t="s">
        <v>985</v>
      </c>
      <c r="C129" t="s">
        <v>1049</v>
      </c>
      <c r="D129" t="s">
        <v>1344</v>
      </c>
      <c r="E129" t="s">
        <v>1347</v>
      </c>
      <c r="F129" t="s">
        <v>1355</v>
      </c>
      <c r="G129" t="s">
        <v>1374</v>
      </c>
      <c r="H129" s="5">
        <v>0</v>
      </c>
      <c r="I129" s="9">
        <v>2499</v>
      </c>
      <c r="J129" s="9">
        <f t="shared" si="1"/>
        <v>0</v>
      </c>
      <c r="K129" t="s">
        <v>1379</v>
      </c>
      <c r="L129" t="s">
        <v>1382</v>
      </c>
    </row>
    <row r="130" spans="1:12" x14ac:dyDescent="0.25">
      <c r="A130" s="3">
        <v>45482</v>
      </c>
      <c r="B130" t="s">
        <v>379</v>
      </c>
      <c r="C130" t="s">
        <v>1228</v>
      </c>
      <c r="D130" t="s">
        <v>1389</v>
      </c>
      <c r="E130" t="s">
        <v>1349</v>
      </c>
      <c r="F130" t="s">
        <v>1352</v>
      </c>
      <c r="G130" t="s">
        <v>1368</v>
      </c>
      <c r="H130" s="5">
        <v>24</v>
      </c>
      <c r="I130" s="9">
        <v>199</v>
      </c>
      <c r="J130" s="9">
        <f t="shared" ref="J130:J193" si="2">H130*I130</f>
        <v>4776</v>
      </c>
      <c r="K130" t="s">
        <v>1377</v>
      </c>
      <c r="L130" t="s">
        <v>1380</v>
      </c>
    </row>
    <row r="131" spans="1:12" x14ac:dyDescent="0.25">
      <c r="A131" s="3">
        <v>45571</v>
      </c>
      <c r="B131" t="s">
        <v>355</v>
      </c>
      <c r="C131" t="s">
        <v>1233</v>
      </c>
      <c r="D131" t="s">
        <v>1344</v>
      </c>
      <c r="E131" t="s">
        <v>1347</v>
      </c>
      <c r="F131" t="s">
        <v>1352</v>
      </c>
      <c r="G131" t="s">
        <v>1375</v>
      </c>
      <c r="H131" s="5">
        <v>8</v>
      </c>
      <c r="I131" s="9">
        <v>1624</v>
      </c>
      <c r="J131" s="9">
        <f t="shared" si="2"/>
        <v>12992</v>
      </c>
      <c r="K131" t="s">
        <v>1377</v>
      </c>
      <c r="L131" t="s">
        <v>1381</v>
      </c>
    </row>
    <row r="132" spans="1:12" x14ac:dyDescent="0.25">
      <c r="A132" s="3">
        <v>45438</v>
      </c>
      <c r="B132" t="s">
        <v>936</v>
      </c>
      <c r="C132" t="s">
        <v>1242</v>
      </c>
      <c r="D132" t="s">
        <v>1344</v>
      </c>
      <c r="E132" t="s">
        <v>1349</v>
      </c>
      <c r="F132" t="s">
        <v>1354</v>
      </c>
      <c r="G132" t="s">
        <v>1366</v>
      </c>
      <c r="H132" s="5">
        <v>32</v>
      </c>
      <c r="I132" s="9">
        <v>499</v>
      </c>
      <c r="J132" s="9">
        <f t="shared" si="2"/>
        <v>15968</v>
      </c>
      <c r="K132" t="s">
        <v>1376</v>
      </c>
      <c r="L132" t="s">
        <v>1382</v>
      </c>
    </row>
    <row r="133" spans="1:12" x14ac:dyDescent="0.25">
      <c r="A133" s="3">
        <v>45418</v>
      </c>
      <c r="B133" t="s">
        <v>266</v>
      </c>
      <c r="C133" t="s">
        <v>1133</v>
      </c>
      <c r="D133" t="s">
        <v>1344</v>
      </c>
      <c r="E133" t="s">
        <v>1349</v>
      </c>
      <c r="F133" t="s">
        <v>1354</v>
      </c>
      <c r="G133" t="s">
        <v>1366</v>
      </c>
      <c r="H133" s="5">
        <v>18</v>
      </c>
      <c r="I133" s="9">
        <v>1999</v>
      </c>
      <c r="J133" s="9">
        <f t="shared" si="2"/>
        <v>35982</v>
      </c>
      <c r="K133" t="s">
        <v>1376</v>
      </c>
      <c r="L133" t="s">
        <v>1383</v>
      </c>
    </row>
    <row r="134" spans="1:12" x14ac:dyDescent="0.25">
      <c r="A134" s="3">
        <v>45585</v>
      </c>
      <c r="B134" t="s">
        <v>577</v>
      </c>
      <c r="C134" t="s">
        <v>1297</v>
      </c>
      <c r="D134" t="s">
        <v>1345</v>
      </c>
      <c r="E134" t="s">
        <v>1349</v>
      </c>
      <c r="F134" t="s">
        <v>1355</v>
      </c>
      <c r="G134" t="s">
        <v>1373</v>
      </c>
      <c r="H134" s="5">
        <v>20</v>
      </c>
      <c r="I134" s="9">
        <v>199</v>
      </c>
      <c r="J134" s="9">
        <f t="shared" si="2"/>
        <v>3980</v>
      </c>
      <c r="K134" t="s">
        <v>1378</v>
      </c>
      <c r="L134" t="s">
        <v>1382</v>
      </c>
    </row>
    <row r="135" spans="1:12" x14ac:dyDescent="0.25">
      <c r="A135" s="3">
        <v>45586</v>
      </c>
      <c r="B135" t="s">
        <v>335</v>
      </c>
      <c r="C135" t="s">
        <v>1222</v>
      </c>
      <c r="D135" t="s">
        <v>1345</v>
      </c>
      <c r="E135" t="s">
        <v>1347</v>
      </c>
      <c r="F135" t="s">
        <v>1351</v>
      </c>
      <c r="G135" t="s">
        <v>1356</v>
      </c>
      <c r="H135" s="5">
        <v>16</v>
      </c>
      <c r="I135" s="9">
        <v>3499</v>
      </c>
      <c r="J135" s="9">
        <f t="shared" si="2"/>
        <v>55984</v>
      </c>
      <c r="K135" t="s">
        <v>1379</v>
      </c>
      <c r="L135" t="s">
        <v>1382</v>
      </c>
    </row>
    <row r="136" spans="1:12" x14ac:dyDescent="0.25">
      <c r="A136" s="3">
        <v>45552</v>
      </c>
      <c r="B136" t="s">
        <v>50</v>
      </c>
      <c r="C136" t="s">
        <v>1060</v>
      </c>
      <c r="D136" t="s">
        <v>1389</v>
      </c>
      <c r="E136" t="s">
        <v>1346</v>
      </c>
      <c r="F136" t="s">
        <v>1353</v>
      </c>
      <c r="G136" t="s">
        <v>1365</v>
      </c>
      <c r="H136" s="5">
        <v>4</v>
      </c>
      <c r="I136" s="9">
        <v>199</v>
      </c>
      <c r="J136" s="9">
        <f t="shared" si="2"/>
        <v>796</v>
      </c>
      <c r="K136" t="s">
        <v>1379</v>
      </c>
      <c r="L136" t="s">
        <v>1382</v>
      </c>
    </row>
    <row r="137" spans="1:12" x14ac:dyDescent="0.25">
      <c r="A137" s="3">
        <v>45344</v>
      </c>
      <c r="B137" t="s">
        <v>843</v>
      </c>
      <c r="C137" t="s">
        <v>1040</v>
      </c>
      <c r="D137" t="s">
        <v>1389</v>
      </c>
      <c r="E137" t="s">
        <v>1348</v>
      </c>
      <c r="F137" t="s">
        <v>1353</v>
      </c>
      <c r="G137" t="s">
        <v>1369</v>
      </c>
      <c r="H137" s="5">
        <v>14</v>
      </c>
      <c r="I137" s="9">
        <v>1845</v>
      </c>
      <c r="J137" s="9">
        <f t="shared" si="2"/>
        <v>25830</v>
      </c>
      <c r="K137" t="s">
        <v>1378</v>
      </c>
      <c r="L137" t="s">
        <v>1384</v>
      </c>
    </row>
    <row r="138" spans="1:12" x14ac:dyDescent="0.25">
      <c r="A138" s="3">
        <v>45592</v>
      </c>
      <c r="B138" t="s">
        <v>318</v>
      </c>
      <c r="C138" t="s">
        <v>1214</v>
      </c>
      <c r="D138" t="s">
        <v>1345</v>
      </c>
      <c r="E138" t="s">
        <v>1350</v>
      </c>
      <c r="F138" t="s">
        <v>1351</v>
      </c>
      <c r="G138" t="s">
        <v>1370</v>
      </c>
      <c r="H138" s="5">
        <v>1</v>
      </c>
      <c r="I138" s="9">
        <v>199</v>
      </c>
      <c r="J138" s="9">
        <f t="shared" si="2"/>
        <v>199</v>
      </c>
      <c r="K138" t="s">
        <v>1379</v>
      </c>
      <c r="L138" t="s">
        <v>1384</v>
      </c>
    </row>
    <row r="139" spans="1:12" x14ac:dyDescent="0.25">
      <c r="A139" s="3">
        <v>45471</v>
      </c>
      <c r="B139" t="s">
        <v>390</v>
      </c>
      <c r="C139" t="s">
        <v>1091</v>
      </c>
      <c r="D139" t="s">
        <v>1344</v>
      </c>
      <c r="E139" t="s">
        <v>1350</v>
      </c>
      <c r="F139" t="s">
        <v>1352</v>
      </c>
      <c r="G139" t="s">
        <v>1364</v>
      </c>
      <c r="H139" s="5">
        <v>15</v>
      </c>
      <c r="I139" s="9">
        <v>199</v>
      </c>
      <c r="J139" s="9">
        <f t="shared" si="2"/>
        <v>2985</v>
      </c>
      <c r="K139" t="s">
        <v>1378</v>
      </c>
      <c r="L139" t="s">
        <v>1382</v>
      </c>
    </row>
    <row r="140" spans="1:12" x14ac:dyDescent="0.25">
      <c r="A140" s="3">
        <v>45347</v>
      </c>
      <c r="B140" t="s">
        <v>984</v>
      </c>
      <c r="C140" t="s">
        <v>1045</v>
      </c>
      <c r="D140" t="s">
        <v>1389</v>
      </c>
      <c r="E140" t="s">
        <v>1349</v>
      </c>
      <c r="F140" t="s">
        <v>1353</v>
      </c>
      <c r="G140" t="s">
        <v>1365</v>
      </c>
      <c r="H140" s="5">
        <v>20</v>
      </c>
      <c r="I140" s="9">
        <v>2999</v>
      </c>
      <c r="J140" s="9">
        <f t="shared" si="2"/>
        <v>59980</v>
      </c>
      <c r="K140" t="s">
        <v>1378</v>
      </c>
      <c r="L140" t="s">
        <v>1380</v>
      </c>
    </row>
    <row r="141" spans="1:12" x14ac:dyDescent="0.25">
      <c r="A141" s="3">
        <v>45535</v>
      </c>
      <c r="B141" t="s">
        <v>666</v>
      </c>
      <c r="C141" t="s">
        <v>1311</v>
      </c>
      <c r="D141" t="s">
        <v>1389</v>
      </c>
      <c r="E141" t="s">
        <v>1349</v>
      </c>
      <c r="F141" t="s">
        <v>1352</v>
      </c>
      <c r="G141" t="s">
        <v>1375</v>
      </c>
      <c r="H141" s="5">
        <v>2</v>
      </c>
      <c r="I141" s="9">
        <v>2499</v>
      </c>
      <c r="J141" s="9">
        <f t="shared" si="2"/>
        <v>4998</v>
      </c>
      <c r="K141" t="s">
        <v>1379</v>
      </c>
      <c r="L141" t="s">
        <v>1380</v>
      </c>
    </row>
    <row r="142" spans="1:12" x14ac:dyDescent="0.25">
      <c r="A142" s="3">
        <v>45595</v>
      </c>
      <c r="B142" t="s">
        <v>59</v>
      </c>
      <c r="C142" t="s">
        <v>1059</v>
      </c>
      <c r="D142" t="s">
        <v>1345</v>
      </c>
      <c r="E142" t="s">
        <v>1347</v>
      </c>
      <c r="F142" t="s">
        <v>1352</v>
      </c>
      <c r="G142" t="s">
        <v>1375</v>
      </c>
      <c r="H142" s="5">
        <v>5</v>
      </c>
      <c r="I142" s="9">
        <v>199</v>
      </c>
      <c r="J142" s="9">
        <f t="shared" si="2"/>
        <v>995</v>
      </c>
      <c r="K142" t="s">
        <v>1379</v>
      </c>
      <c r="L142" t="s">
        <v>1383</v>
      </c>
    </row>
    <row r="143" spans="1:12" x14ac:dyDescent="0.25">
      <c r="A143" s="3">
        <v>45656</v>
      </c>
      <c r="B143" t="s">
        <v>882</v>
      </c>
      <c r="C143" t="s">
        <v>1049</v>
      </c>
      <c r="D143" t="s">
        <v>1344</v>
      </c>
      <c r="E143" t="s">
        <v>1349</v>
      </c>
      <c r="F143" t="s">
        <v>1353</v>
      </c>
      <c r="G143" t="s">
        <v>1359</v>
      </c>
      <c r="H143" s="5">
        <v>35</v>
      </c>
      <c r="I143" s="9">
        <v>199</v>
      </c>
      <c r="J143" s="9">
        <f t="shared" si="2"/>
        <v>6965</v>
      </c>
      <c r="K143" t="s">
        <v>1379</v>
      </c>
      <c r="L143" t="s">
        <v>1381</v>
      </c>
    </row>
    <row r="144" spans="1:12" x14ac:dyDescent="0.25">
      <c r="A144" s="3">
        <v>45405</v>
      </c>
      <c r="B144" t="s">
        <v>439</v>
      </c>
      <c r="C144" t="s">
        <v>1133</v>
      </c>
      <c r="D144" t="s">
        <v>1345</v>
      </c>
      <c r="E144" t="s">
        <v>1349</v>
      </c>
      <c r="F144" t="s">
        <v>1353</v>
      </c>
      <c r="G144" t="s">
        <v>1367</v>
      </c>
      <c r="H144" s="5">
        <v>29</v>
      </c>
      <c r="I144" s="9">
        <v>199</v>
      </c>
      <c r="J144" s="9">
        <f t="shared" si="2"/>
        <v>5771</v>
      </c>
      <c r="K144" t="s">
        <v>1379</v>
      </c>
      <c r="L144" t="s">
        <v>1384</v>
      </c>
    </row>
    <row r="145" spans="1:12" x14ac:dyDescent="0.25">
      <c r="A145" s="3">
        <v>45316</v>
      </c>
      <c r="B145" t="s">
        <v>109</v>
      </c>
      <c r="C145" t="s">
        <v>1033</v>
      </c>
      <c r="D145" t="s">
        <v>1389</v>
      </c>
      <c r="E145" t="s">
        <v>1349</v>
      </c>
      <c r="F145" t="s">
        <v>1352</v>
      </c>
      <c r="G145" t="s">
        <v>1358</v>
      </c>
      <c r="H145" s="5">
        <v>14</v>
      </c>
      <c r="I145" s="9">
        <v>2999</v>
      </c>
      <c r="J145" s="9">
        <f t="shared" si="2"/>
        <v>41986</v>
      </c>
      <c r="K145" t="s">
        <v>1379</v>
      </c>
      <c r="L145" t="s">
        <v>1382</v>
      </c>
    </row>
    <row r="146" spans="1:12" x14ac:dyDescent="0.25">
      <c r="A146" s="3">
        <v>45641</v>
      </c>
      <c r="B146" t="s">
        <v>927</v>
      </c>
      <c r="C146" t="s">
        <v>1238</v>
      </c>
      <c r="D146" t="s">
        <v>1345</v>
      </c>
      <c r="E146" t="s">
        <v>1349</v>
      </c>
      <c r="F146" t="s">
        <v>1354</v>
      </c>
      <c r="G146" t="s">
        <v>1361</v>
      </c>
      <c r="H146" s="5">
        <v>49</v>
      </c>
      <c r="I146" s="9">
        <v>2499</v>
      </c>
      <c r="J146" s="9">
        <f t="shared" si="2"/>
        <v>122451</v>
      </c>
      <c r="K146" t="s">
        <v>1376</v>
      </c>
      <c r="L146" t="s">
        <v>1381</v>
      </c>
    </row>
    <row r="147" spans="1:12" x14ac:dyDescent="0.25">
      <c r="A147" s="3">
        <v>45440</v>
      </c>
      <c r="B147" t="s">
        <v>252</v>
      </c>
      <c r="C147" t="s">
        <v>1188</v>
      </c>
      <c r="D147" t="s">
        <v>1344</v>
      </c>
      <c r="E147" t="s">
        <v>1347</v>
      </c>
      <c r="F147" t="s">
        <v>1354</v>
      </c>
      <c r="G147" t="s">
        <v>1361</v>
      </c>
      <c r="H147" s="5">
        <v>5</v>
      </c>
      <c r="I147" s="9">
        <v>999</v>
      </c>
      <c r="J147" s="9">
        <f t="shared" si="2"/>
        <v>4995</v>
      </c>
      <c r="K147" t="s">
        <v>1377</v>
      </c>
      <c r="L147" t="s">
        <v>1380</v>
      </c>
    </row>
    <row r="148" spans="1:12" x14ac:dyDescent="0.25">
      <c r="A148" s="3">
        <v>45342</v>
      </c>
      <c r="B148" t="s">
        <v>458</v>
      </c>
      <c r="C148" t="s">
        <v>1114</v>
      </c>
      <c r="D148" t="s">
        <v>1345</v>
      </c>
      <c r="E148" t="s">
        <v>1347</v>
      </c>
      <c r="F148" t="s">
        <v>1351</v>
      </c>
      <c r="G148" t="s">
        <v>1356</v>
      </c>
      <c r="H148" s="5">
        <v>10</v>
      </c>
      <c r="I148" s="9">
        <v>3499</v>
      </c>
      <c r="J148" s="9">
        <f t="shared" si="2"/>
        <v>34990</v>
      </c>
      <c r="K148" t="s">
        <v>1377</v>
      </c>
      <c r="L148" t="s">
        <v>1382</v>
      </c>
    </row>
    <row r="149" spans="1:12" x14ac:dyDescent="0.25">
      <c r="A149" s="3">
        <v>45387</v>
      </c>
      <c r="B149" t="s">
        <v>533</v>
      </c>
      <c r="C149" t="s">
        <v>1074</v>
      </c>
      <c r="D149" t="s">
        <v>1345</v>
      </c>
      <c r="E149" t="s">
        <v>1350</v>
      </c>
      <c r="F149" t="s">
        <v>1353</v>
      </c>
      <c r="G149" t="s">
        <v>1359</v>
      </c>
      <c r="H149" s="5">
        <v>38</v>
      </c>
      <c r="I149" s="9">
        <v>999</v>
      </c>
      <c r="J149" s="9">
        <f t="shared" si="2"/>
        <v>37962</v>
      </c>
      <c r="K149" t="s">
        <v>1378</v>
      </c>
      <c r="L149" t="s">
        <v>1382</v>
      </c>
    </row>
    <row r="150" spans="1:12" x14ac:dyDescent="0.25">
      <c r="A150" s="3">
        <v>45474</v>
      </c>
      <c r="B150" t="s">
        <v>315</v>
      </c>
      <c r="C150" t="s">
        <v>1196</v>
      </c>
      <c r="D150" t="s">
        <v>1345</v>
      </c>
      <c r="E150" t="s">
        <v>1349</v>
      </c>
      <c r="F150" t="s">
        <v>1352</v>
      </c>
      <c r="G150" t="s">
        <v>1358</v>
      </c>
      <c r="H150" s="5">
        <v>24</v>
      </c>
      <c r="I150" s="9">
        <v>3499</v>
      </c>
      <c r="J150" s="9">
        <f t="shared" si="2"/>
        <v>83976</v>
      </c>
      <c r="K150" t="s">
        <v>1379</v>
      </c>
      <c r="L150" t="s">
        <v>1381</v>
      </c>
    </row>
    <row r="151" spans="1:12" x14ac:dyDescent="0.25">
      <c r="A151" s="3">
        <v>45418</v>
      </c>
      <c r="B151" t="s">
        <v>678</v>
      </c>
      <c r="C151" t="s">
        <v>1313</v>
      </c>
      <c r="D151" t="s">
        <v>1344</v>
      </c>
      <c r="E151" t="s">
        <v>1348</v>
      </c>
      <c r="F151" t="s">
        <v>1355</v>
      </c>
      <c r="G151" t="s">
        <v>1360</v>
      </c>
      <c r="H151" s="5">
        <v>31</v>
      </c>
      <c r="I151" s="9">
        <v>199</v>
      </c>
      <c r="J151" s="9">
        <f t="shared" si="2"/>
        <v>6169</v>
      </c>
      <c r="K151" t="s">
        <v>1379</v>
      </c>
      <c r="L151" t="s">
        <v>1382</v>
      </c>
    </row>
    <row r="152" spans="1:12" x14ac:dyDescent="0.25">
      <c r="A152" s="3">
        <v>45611</v>
      </c>
      <c r="B152" t="s">
        <v>786</v>
      </c>
      <c r="C152" t="s">
        <v>1101</v>
      </c>
      <c r="D152" t="s">
        <v>1344</v>
      </c>
      <c r="E152" t="s">
        <v>1349</v>
      </c>
      <c r="F152" t="s">
        <v>1355</v>
      </c>
      <c r="G152" t="s">
        <v>1360</v>
      </c>
      <c r="H152" s="5">
        <v>46</v>
      </c>
      <c r="I152" s="9">
        <v>2499</v>
      </c>
      <c r="J152" s="9">
        <f t="shared" si="2"/>
        <v>114954</v>
      </c>
      <c r="K152" t="s">
        <v>1377</v>
      </c>
      <c r="L152" t="s">
        <v>1381</v>
      </c>
    </row>
    <row r="153" spans="1:12" x14ac:dyDescent="0.25">
      <c r="A153" s="3">
        <v>45429</v>
      </c>
      <c r="B153" t="s">
        <v>546</v>
      </c>
      <c r="C153" t="s">
        <v>1076</v>
      </c>
      <c r="D153" t="s">
        <v>1344</v>
      </c>
      <c r="E153" t="s">
        <v>1350</v>
      </c>
      <c r="F153" t="s">
        <v>1355</v>
      </c>
      <c r="G153" t="s">
        <v>1374</v>
      </c>
      <c r="H153" s="5">
        <v>49</v>
      </c>
      <c r="I153" s="9">
        <v>3499</v>
      </c>
      <c r="J153" s="9">
        <f t="shared" si="2"/>
        <v>171451</v>
      </c>
      <c r="K153" t="s">
        <v>1378</v>
      </c>
      <c r="L153" t="s">
        <v>1380</v>
      </c>
    </row>
    <row r="154" spans="1:12" x14ac:dyDescent="0.25">
      <c r="A154" s="3">
        <v>45451</v>
      </c>
      <c r="B154" t="s">
        <v>686</v>
      </c>
      <c r="C154" t="s">
        <v>1317</v>
      </c>
      <c r="D154" t="s">
        <v>1344</v>
      </c>
      <c r="E154" t="s">
        <v>1347</v>
      </c>
      <c r="F154" t="s">
        <v>1353</v>
      </c>
      <c r="G154" t="s">
        <v>1367</v>
      </c>
      <c r="H154" s="5">
        <v>20</v>
      </c>
      <c r="I154" s="9">
        <v>999</v>
      </c>
      <c r="J154" s="9">
        <f t="shared" si="2"/>
        <v>19980</v>
      </c>
      <c r="K154" t="s">
        <v>1379</v>
      </c>
      <c r="L154" t="s">
        <v>1382</v>
      </c>
    </row>
    <row r="155" spans="1:12" x14ac:dyDescent="0.25">
      <c r="A155" s="3">
        <v>45472</v>
      </c>
      <c r="B155" t="s">
        <v>204</v>
      </c>
      <c r="C155" t="s">
        <v>1161</v>
      </c>
      <c r="D155" t="s">
        <v>1344</v>
      </c>
      <c r="E155" t="s">
        <v>1347</v>
      </c>
      <c r="F155" t="s">
        <v>1351</v>
      </c>
      <c r="G155" t="s">
        <v>1357</v>
      </c>
      <c r="H155" s="5">
        <v>25</v>
      </c>
      <c r="I155" s="9">
        <v>199</v>
      </c>
      <c r="J155" s="9">
        <f t="shared" si="2"/>
        <v>4975</v>
      </c>
      <c r="K155" t="s">
        <v>1379</v>
      </c>
      <c r="L155" t="s">
        <v>1381</v>
      </c>
    </row>
    <row r="156" spans="1:12" x14ac:dyDescent="0.25">
      <c r="A156" s="3">
        <v>45526</v>
      </c>
      <c r="B156" t="s">
        <v>780</v>
      </c>
      <c r="C156" t="s">
        <v>1098</v>
      </c>
      <c r="D156" t="s">
        <v>1344</v>
      </c>
      <c r="E156" t="s">
        <v>1346</v>
      </c>
      <c r="F156" t="s">
        <v>1355</v>
      </c>
      <c r="G156" t="s">
        <v>1373</v>
      </c>
      <c r="H156" s="5">
        <v>25</v>
      </c>
      <c r="I156" s="9">
        <v>999</v>
      </c>
      <c r="J156" s="9">
        <f t="shared" si="2"/>
        <v>24975</v>
      </c>
      <c r="K156" t="s">
        <v>1377</v>
      </c>
      <c r="L156" t="s">
        <v>1380</v>
      </c>
    </row>
    <row r="157" spans="1:12" x14ac:dyDescent="0.25">
      <c r="A157" s="3">
        <v>45537</v>
      </c>
      <c r="B157" t="s">
        <v>667</v>
      </c>
      <c r="C157" t="s">
        <v>1079</v>
      </c>
      <c r="D157" t="s">
        <v>1389</v>
      </c>
      <c r="E157" t="s">
        <v>1349</v>
      </c>
      <c r="F157" t="s">
        <v>1352</v>
      </c>
      <c r="G157" t="s">
        <v>1375</v>
      </c>
      <c r="H157" s="5">
        <v>29</v>
      </c>
      <c r="I157" s="9">
        <v>999</v>
      </c>
      <c r="J157" s="9">
        <f t="shared" si="2"/>
        <v>28971</v>
      </c>
      <c r="K157" t="s">
        <v>1379</v>
      </c>
      <c r="L157" t="s">
        <v>1384</v>
      </c>
    </row>
    <row r="158" spans="1:12" x14ac:dyDescent="0.25">
      <c r="A158" s="3">
        <v>45609</v>
      </c>
      <c r="B158" t="s">
        <v>83</v>
      </c>
      <c r="C158" t="s">
        <v>1087</v>
      </c>
      <c r="D158" t="s">
        <v>1389</v>
      </c>
      <c r="E158" t="s">
        <v>1350</v>
      </c>
      <c r="F158" t="s">
        <v>1353</v>
      </c>
      <c r="G158" t="s">
        <v>1365</v>
      </c>
      <c r="H158" s="5">
        <v>24</v>
      </c>
      <c r="I158" s="9">
        <v>2499</v>
      </c>
      <c r="J158" s="9">
        <f t="shared" si="2"/>
        <v>59976</v>
      </c>
      <c r="K158" t="s">
        <v>1378</v>
      </c>
      <c r="L158" t="s">
        <v>1380</v>
      </c>
    </row>
    <row r="159" spans="1:12" x14ac:dyDescent="0.25">
      <c r="A159" s="3">
        <v>45301</v>
      </c>
      <c r="B159" t="s">
        <v>884</v>
      </c>
      <c r="C159" t="s">
        <v>1278</v>
      </c>
      <c r="D159" t="s">
        <v>1344</v>
      </c>
      <c r="E159" t="s">
        <v>1349</v>
      </c>
      <c r="F159" t="s">
        <v>1353</v>
      </c>
      <c r="G159" t="s">
        <v>1369</v>
      </c>
      <c r="H159" s="5">
        <v>29</v>
      </c>
      <c r="I159" s="9">
        <v>199</v>
      </c>
      <c r="J159" s="9">
        <f t="shared" si="2"/>
        <v>5771</v>
      </c>
      <c r="K159" t="s">
        <v>1379</v>
      </c>
      <c r="L159" t="s">
        <v>1384</v>
      </c>
    </row>
    <row r="160" spans="1:12" x14ac:dyDescent="0.25">
      <c r="A160" s="3">
        <v>45479</v>
      </c>
      <c r="B160" t="s">
        <v>257</v>
      </c>
      <c r="C160" t="s">
        <v>1048</v>
      </c>
      <c r="D160" t="s">
        <v>1389</v>
      </c>
      <c r="E160" t="s">
        <v>1350</v>
      </c>
      <c r="F160" t="s">
        <v>1353</v>
      </c>
      <c r="G160" t="s">
        <v>1367</v>
      </c>
      <c r="H160" s="5">
        <v>3</v>
      </c>
      <c r="I160" s="9">
        <v>499</v>
      </c>
      <c r="J160" s="9">
        <f t="shared" si="2"/>
        <v>1497</v>
      </c>
      <c r="K160" t="s">
        <v>1378</v>
      </c>
      <c r="L160" t="s">
        <v>1382</v>
      </c>
    </row>
    <row r="161" spans="1:12" x14ac:dyDescent="0.25">
      <c r="A161" s="3">
        <v>45329</v>
      </c>
      <c r="B161" t="s">
        <v>251</v>
      </c>
      <c r="C161" t="s">
        <v>1187</v>
      </c>
      <c r="D161" t="s">
        <v>1344</v>
      </c>
      <c r="E161" t="s">
        <v>1348</v>
      </c>
      <c r="F161" t="s">
        <v>1353</v>
      </c>
      <c r="G161" t="s">
        <v>1369</v>
      </c>
      <c r="H161" s="5">
        <v>2</v>
      </c>
      <c r="I161" s="9">
        <v>499</v>
      </c>
      <c r="J161" s="9">
        <f t="shared" si="2"/>
        <v>998</v>
      </c>
      <c r="K161" t="s">
        <v>1379</v>
      </c>
      <c r="L161" t="s">
        <v>1383</v>
      </c>
    </row>
    <row r="162" spans="1:12" x14ac:dyDescent="0.25">
      <c r="A162" s="3">
        <v>45513</v>
      </c>
      <c r="B162" t="s">
        <v>147</v>
      </c>
      <c r="C162" t="s">
        <v>1114</v>
      </c>
      <c r="D162" t="s">
        <v>1344</v>
      </c>
      <c r="E162" t="s">
        <v>1346</v>
      </c>
      <c r="F162" t="s">
        <v>1355</v>
      </c>
      <c r="G162" t="s">
        <v>1372</v>
      </c>
      <c r="H162" s="5">
        <v>30</v>
      </c>
      <c r="I162" s="9">
        <v>1499</v>
      </c>
      <c r="J162" s="9">
        <f t="shared" si="2"/>
        <v>44970</v>
      </c>
      <c r="K162" t="s">
        <v>1376</v>
      </c>
      <c r="L162" t="s">
        <v>1380</v>
      </c>
    </row>
    <row r="163" spans="1:12" x14ac:dyDescent="0.25">
      <c r="A163" s="3">
        <v>45645</v>
      </c>
      <c r="B163" t="s">
        <v>247</v>
      </c>
      <c r="C163" t="s">
        <v>1183</v>
      </c>
      <c r="D163" t="s">
        <v>1345</v>
      </c>
      <c r="E163" t="s">
        <v>1349</v>
      </c>
      <c r="F163" t="s">
        <v>1353</v>
      </c>
      <c r="G163" t="s">
        <v>1359</v>
      </c>
      <c r="H163" s="5">
        <v>21</v>
      </c>
      <c r="I163" s="9">
        <v>1999</v>
      </c>
      <c r="J163" s="9">
        <f t="shared" si="2"/>
        <v>41979</v>
      </c>
      <c r="K163" t="s">
        <v>1377</v>
      </c>
      <c r="L163" t="s">
        <v>1382</v>
      </c>
    </row>
    <row r="164" spans="1:12" x14ac:dyDescent="0.25">
      <c r="A164" s="3">
        <v>45585</v>
      </c>
      <c r="B164" t="s">
        <v>234</v>
      </c>
      <c r="C164" t="s">
        <v>1122</v>
      </c>
      <c r="D164" t="s">
        <v>1344</v>
      </c>
      <c r="E164" t="s">
        <v>1346</v>
      </c>
      <c r="F164" t="s">
        <v>1355</v>
      </c>
      <c r="G164" t="s">
        <v>1373</v>
      </c>
      <c r="H164" s="5">
        <v>40</v>
      </c>
      <c r="I164" s="9">
        <v>1838</v>
      </c>
      <c r="J164" s="9">
        <f t="shared" si="2"/>
        <v>73520</v>
      </c>
      <c r="K164" t="s">
        <v>1379</v>
      </c>
      <c r="L164" t="s">
        <v>1383</v>
      </c>
    </row>
    <row r="165" spans="1:12" x14ac:dyDescent="0.25">
      <c r="A165" s="3">
        <v>45545</v>
      </c>
      <c r="B165" t="s">
        <v>179</v>
      </c>
      <c r="C165" t="s">
        <v>1096</v>
      </c>
      <c r="D165" t="s">
        <v>1345</v>
      </c>
      <c r="E165" t="s">
        <v>1349</v>
      </c>
      <c r="F165" t="s">
        <v>1352</v>
      </c>
      <c r="G165" t="s">
        <v>1364</v>
      </c>
      <c r="H165" s="5">
        <v>49</v>
      </c>
      <c r="I165" s="9">
        <v>999</v>
      </c>
      <c r="J165" s="9">
        <f t="shared" si="2"/>
        <v>48951</v>
      </c>
      <c r="K165" t="s">
        <v>1377</v>
      </c>
      <c r="L165" t="s">
        <v>1384</v>
      </c>
    </row>
    <row r="166" spans="1:12" x14ac:dyDescent="0.25">
      <c r="A166" s="3">
        <v>45404</v>
      </c>
      <c r="B166" t="s">
        <v>728</v>
      </c>
      <c r="C166" t="s">
        <v>1094</v>
      </c>
      <c r="D166" t="s">
        <v>1344</v>
      </c>
      <c r="E166" t="s">
        <v>1349</v>
      </c>
      <c r="F166" t="s">
        <v>1354</v>
      </c>
      <c r="G166" t="s">
        <v>1362</v>
      </c>
      <c r="H166" s="5">
        <v>40</v>
      </c>
      <c r="I166" s="9">
        <v>1499</v>
      </c>
      <c r="J166" s="9">
        <f t="shared" si="2"/>
        <v>59960</v>
      </c>
      <c r="K166" t="s">
        <v>1379</v>
      </c>
      <c r="L166" t="s">
        <v>1382</v>
      </c>
    </row>
    <row r="167" spans="1:12" x14ac:dyDescent="0.25">
      <c r="A167" s="3">
        <v>45437</v>
      </c>
      <c r="B167" t="s">
        <v>699</v>
      </c>
      <c r="C167" t="s">
        <v>1087</v>
      </c>
      <c r="D167" t="s">
        <v>1344</v>
      </c>
      <c r="E167" t="s">
        <v>1350</v>
      </c>
      <c r="F167" t="s">
        <v>1353</v>
      </c>
      <c r="G167" t="s">
        <v>1369</v>
      </c>
      <c r="H167" s="5">
        <v>33</v>
      </c>
      <c r="I167" s="9">
        <v>499</v>
      </c>
      <c r="J167" s="9">
        <f t="shared" si="2"/>
        <v>16467</v>
      </c>
      <c r="K167" t="s">
        <v>1379</v>
      </c>
      <c r="L167" t="s">
        <v>1383</v>
      </c>
    </row>
    <row r="168" spans="1:12" x14ac:dyDescent="0.25">
      <c r="A168" s="3">
        <v>45344</v>
      </c>
      <c r="B168" t="s">
        <v>1011</v>
      </c>
      <c r="C168" t="s">
        <v>1265</v>
      </c>
      <c r="D168" t="s">
        <v>1344</v>
      </c>
      <c r="E168" t="s">
        <v>1346</v>
      </c>
      <c r="F168" t="s">
        <v>1354</v>
      </c>
      <c r="G168" t="s">
        <v>1362</v>
      </c>
      <c r="H168" s="5">
        <v>12</v>
      </c>
      <c r="I168" s="9">
        <v>1999</v>
      </c>
      <c r="J168" s="9">
        <f t="shared" si="2"/>
        <v>23988</v>
      </c>
      <c r="K168" t="s">
        <v>1377</v>
      </c>
      <c r="L168" t="s">
        <v>1380</v>
      </c>
    </row>
    <row r="169" spans="1:12" x14ac:dyDescent="0.25">
      <c r="A169" s="3">
        <v>45471</v>
      </c>
      <c r="B169" t="s">
        <v>206</v>
      </c>
      <c r="C169" t="s">
        <v>1163</v>
      </c>
      <c r="D169" t="s">
        <v>1344</v>
      </c>
      <c r="E169" t="s">
        <v>1349</v>
      </c>
      <c r="F169" t="s">
        <v>1354</v>
      </c>
      <c r="G169" t="s">
        <v>1363</v>
      </c>
      <c r="H169" s="5">
        <v>36</v>
      </c>
      <c r="I169" s="9">
        <v>199</v>
      </c>
      <c r="J169" s="9">
        <f t="shared" si="2"/>
        <v>7164</v>
      </c>
      <c r="K169" t="s">
        <v>1377</v>
      </c>
      <c r="L169" t="s">
        <v>1381</v>
      </c>
    </row>
    <row r="170" spans="1:12" x14ac:dyDescent="0.25">
      <c r="A170" s="3">
        <v>45598</v>
      </c>
      <c r="B170" t="s">
        <v>249</v>
      </c>
      <c r="C170" t="s">
        <v>1185</v>
      </c>
      <c r="D170" t="s">
        <v>1389</v>
      </c>
      <c r="E170" t="s">
        <v>1347</v>
      </c>
      <c r="F170" t="s">
        <v>1351</v>
      </c>
      <c r="G170" t="s">
        <v>1357</v>
      </c>
      <c r="H170" s="5">
        <v>46</v>
      </c>
      <c r="I170" s="9">
        <v>199</v>
      </c>
      <c r="J170" s="9">
        <f t="shared" si="2"/>
        <v>9154</v>
      </c>
      <c r="K170" t="s">
        <v>1379</v>
      </c>
      <c r="L170" t="s">
        <v>1384</v>
      </c>
    </row>
    <row r="171" spans="1:12" x14ac:dyDescent="0.25">
      <c r="A171" s="3">
        <v>45483</v>
      </c>
      <c r="B171" t="s">
        <v>502</v>
      </c>
      <c r="C171" t="s">
        <v>1248</v>
      </c>
      <c r="D171" t="s">
        <v>1344</v>
      </c>
      <c r="E171" t="s">
        <v>1350</v>
      </c>
      <c r="F171" t="s">
        <v>1355</v>
      </c>
      <c r="G171" t="s">
        <v>1373</v>
      </c>
      <c r="H171" s="5">
        <v>17</v>
      </c>
      <c r="I171" s="9">
        <v>1999</v>
      </c>
      <c r="J171" s="9">
        <f t="shared" si="2"/>
        <v>33983</v>
      </c>
      <c r="K171" t="s">
        <v>1379</v>
      </c>
      <c r="L171" t="s">
        <v>1380</v>
      </c>
    </row>
    <row r="172" spans="1:12" x14ac:dyDescent="0.25">
      <c r="A172" s="3">
        <v>45580</v>
      </c>
      <c r="B172" t="s">
        <v>978</v>
      </c>
      <c r="C172" t="s">
        <v>1304</v>
      </c>
      <c r="D172" t="s">
        <v>1345</v>
      </c>
      <c r="E172" t="s">
        <v>1350</v>
      </c>
      <c r="F172" t="s">
        <v>1353</v>
      </c>
      <c r="G172" t="s">
        <v>1365</v>
      </c>
      <c r="H172" s="5">
        <v>22</v>
      </c>
      <c r="I172" s="9">
        <v>2999</v>
      </c>
      <c r="J172" s="9">
        <f t="shared" si="2"/>
        <v>65978</v>
      </c>
      <c r="K172" t="s">
        <v>1379</v>
      </c>
      <c r="L172" t="s">
        <v>1380</v>
      </c>
    </row>
    <row r="173" spans="1:12" x14ac:dyDescent="0.25">
      <c r="A173" s="3">
        <v>45608</v>
      </c>
      <c r="B173" t="s">
        <v>113</v>
      </c>
      <c r="C173" t="s">
        <v>1043</v>
      </c>
      <c r="D173" t="s">
        <v>1345</v>
      </c>
      <c r="E173" t="s">
        <v>1347</v>
      </c>
      <c r="F173" t="s">
        <v>1354</v>
      </c>
      <c r="G173" t="s">
        <v>1362</v>
      </c>
      <c r="H173" s="5">
        <v>28</v>
      </c>
      <c r="I173" s="9">
        <v>2499</v>
      </c>
      <c r="J173" s="9">
        <f t="shared" si="2"/>
        <v>69972</v>
      </c>
      <c r="K173" t="s">
        <v>1376</v>
      </c>
      <c r="L173" t="s">
        <v>1382</v>
      </c>
    </row>
    <row r="174" spans="1:12" x14ac:dyDescent="0.25">
      <c r="A174" s="3">
        <v>45621</v>
      </c>
      <c r="B174" t="s">
        <v>172</v>
      </c>
      <c r="C174" t="s">
        <v>1121</v>
      </c>
      <c r="D174" t="s">
        <v>1344</v>
      </c>
      <c r="E174" t="s">
        <v>1347</v>
      </c>
      <c r="F174" t="s">
        <v>1354</v>
      </c>
      <c r="G174" t="s">
        <v>1366</v>
      </c>
      <c r="H174" s="5">
        <v>34</v>
      </c>
      <c r="I174" s="9">
        <v>1999</v>
      </c>
      <c r="J174" s="9">
        <f t="shared" si="2"/>
        <v>67966</v>
      </c>
      <c r="K174" t="s">
        <v>1377</v>
      </c>
      <c r="L174" t="s">
        <v>1380</v>
      </c>
    </row>
    <row r="175" spans="1:12" x14ac:dyDescent="0.25">
      <c r="A175" s="3">
        <v>45357</v>
      </c>
      <c r="B175" t="s">
        <v>495</v>
      </c>
      <c r="C175" t="s">
        <v>1284</v>
      </c>
      <c r="D175" t="s">
        <v>1345</v>
      </c>
      <c r="E175" t="s">
        <v>1350</v>
      </c>
      <c r="F175" t="s">
        <v>1353</v>
      </c>
      <c r="G175" t="s">
        <v>1359</v>
      </c>
      <c r="H175" s="5">
        <v>2</v>
      </c>
      <c r="I175" s="9">
        <v>499</v>
      </c>
      <c r="J175" s="9">
        <f t="shared" si="2"/>
        <v>998</v>
      </c>
      <c r="K175" t="s">
        <v>1376</v>
      </c>
      <c r="L175" t="s">
        <v>1380</v>
      </c>
    </row>
    <row r="176" spans="1:12" x14ac:dyDescent="0.25">
      <c r="A176" s="3">
        <v>45607</v>
      </c>
      <c r="B176" t="s">
        <v>682</v>
      </c>
      <c r="C176" t="s">
        <v>1316</v>
      </c>
      <c r="D176" t="s">
        <v>1345</v>
      </c>
      <c r="E176" t="s">
        <v>1347</v>
      </c>
      <c r="F176" t="s">
        <v>1353</v>
      </c>
      <c r="G176" t="s">
        <v>1369</v>
      </c>
      <c r="H176" s="5">
        <v>32</v>
      </c>
      <c r="I176" s="9">
        <v>999</v>
      </c>
      <c r="J176" s="9">
        <f t="shared" si="2"/>
        <v>31968</v>
      </c>
      <c r="K176" t="s">
        <v>1379</v>
      </c>
      <c r="L176" t="s">
        <v>1384</v>
      </c>
    </row>
    <row r="177" spans="1:12" x14ac:dyDescent="0.25">
      <c r="A177" s="3">
        <v>45515</v>
      </c>
      <c r="B177" t="s">
        <v>89</v>
      </c>
      <c r="C177" t="s">
        <v>1055</v>
      </c>
      <c r="D177" t="s">
        <v>1345</v>
      </c>
      <c r="E177" t="s">
        <v>1349</v>
      </c>
      <c r="F177" t="s">
        <v>1351</v>
      </c>
      <c r="G177" t="s">
        <v>1371</v>
      </c>
      <c r="H177" s="5">
        <v>5</v>
      </c>
      <c r="I177" s="9">
        <v>1999</v>
      </c>
      <c r="J177" s="9">
        <f t="shared" si="2"/>
        <v>9995</v>
      </c>
      <c r="K177" t="s">
        <v>1379</v>
      </c>
      <c r="L177" t="s">
        <v>1384</v>
      </c>
    </row>
    <row r="178" spans="1:12" x14ac:dyDescent="0.25">
      <c r="A178" s="3">
        <v>45471</v>
      </c>
      <c r="B178" t="s">
        <v>181</v>
      </c>
      <c r="C178" t="s">
        <v>1113</v>
      </c>
      <c r="D178" t="s">
        <v>1344</v>
      </c>
      <c r="E178" t="s">
        <v>1349</v>
      </c>
      <c r="F178" t="s">
        <v>1354</v>
      </c>
      <c r="G178" t="s">
        <v>1363</v>
      </c>
      <c r="H178" s="5">
        <v>29</v>
      </c>
      <c r="I178" s="9">
        <v>1499</v>
      </c>
      <c r="J178" s="9">
        <f t="shared" si="2"/>
        <v>43471</v>
      </c>
      <c r="K178" t="s">
        <v>1379</v>
      </c>
      <c r="L178" t="s">
        <v>1381</v>
      </c>
    </row>
    <row r="179" spans="1:12" x14ac:dyDescent="0.25">
      <c r="A179" s="3">
        <v>45480</v>
      </c>
      <c r="B179" t="s">
        <v>262</v>
      </c>
      <c r="C179" t="s">
        <v>1099</v>
      </c>
      <c r="D179" t="s">
        <v>1344</v>
      </c>
      <c r="E179" t="s">
        <v>1347</v>
      </c>
      <c r="F179" t="s">
        <v>1355</v>
      </c>
      <c r="G179" t="s">
        <v>1374</v>
      </c>
      <c r="H179" s="5">
        <v>36</v>
      </c>
      <c r="I179" s="9">
        <v>499</v>
      </c>
      <c r="J179" s="9">
        <f t="shared" si="2"/>
        <v>17964</v>
      </c>
      <c r="K179" t="s">
        <v>1379</v>
      </c>
      <c r="L179" t="s">
        <v>1382</v>
      </c>
    </row>
    <row r="180" spans="1:12" x14ac:dyDescent="0.25">
      <c r="A180" s="3">
        <v>45300</v>
      </c>
      <c r="B180" t="s">
        <v>873</v>
      </c>
      <c r="C180" t="s">
        <v>1307</v>
      </c>
      <c r="D180" t="s">
        <v>1344</v>
      </c>
      <c r="E180" t="s">
        <v>1347</v>
      </c>
      <c r="F180" t="s">
        <v>1355</v>
      </c>
      <c r="G180" t="s">
        <v>1374</v>
      </c>
      <c r="H180" s="5">
        <v>24</v>
      </c>
      <c r="I180" s="9">
        <v>2499</v>
      </c>
      <c r="J180" s="9">
        <f t="shared" si="2"/>
        <v>59976</v>
      </c>
      <c r="K180" t="s">
        <v>1379</v>
      </c>
      <c r="L180" t="s">
        <v>1384</v>
      </c>
    </row>
    <row r="181" spans="1:12" x14ac:dyDescent="0.25">
      <c r="A181" s="3">
        <v>45448</v>
      </c>
      <c r="B181" t="s">
        <v>261</v>
      </c>
      <c r="C181" t="s">
        <v>1191</v>
      </c>
      <c r="D181" t="s">
        <v>1345</v>
      </c>
      <c r="E181" t="s">
        <v>1349</v>
      </c>
      <c r="F181" t="s">
        <v>1352</v>
      </c>
      <c r="G181" t="s">
        <v>1368</v>
      </c>
      <c r="H181" s="5">
        <v>32</v>
      </c>
      <c r="I181" s="9">
        <v>3499</v>
      </c>
      <c r="J181" s="9">
        <f t="shared" si="2"/>
        <v>111968</v>
      </c>
      <c r="K181" t="s">
        <v>1379</v>
      </c>
      <c r="L181" t="s">
        <v>1384</v>
      </c>
    </row>
    <row r="182" spans="1:12" x14ac:dyDescent="0.25">
      <c r="A182" s="3">
        <v>45311</v>
      </c>
      <c r="B182" t="s">
        <v>582</v>
      </c>
      <c r="C182" t="s">
        <v>1300</v>
      </c>
      <c r="D182" t="s">
        <v>1345</v>
      </c>
      <c r="E182" t="s">
        <v>1348</v>
      </c>
      <c r="F182" t="s">
        <v>1355</v>
      </c>
      <c r="G182" t="s">
        <v>1373</v>
      </c>
      <c r="H182" s="5">
        <v>17</v>
      </c>
      <c r="I182" s="9">
        <v>999</v>
      </c>
      <c r="J182" s="9">
        <f t="shared" si="2"/>
        <v>16983</v>
      </c>
      <c r="K182" t="s">
        <v>1378</v>
      </c>
      <c r="L182" t="s">
        <v>1383</v>
      </c>
    </row>
    <row r="183" spans="1:12" x14ac:dyDescent="0.25">
      <c r="A183" s="3">
        <v>45472</v>
      </c>
      <c r="B183" t="s">
        <v>152</v>
      </c>
      <c r="C183" t="s">
        <v>1131</v>
      </c>
      <c r="D183" t="s">
        <v>1344</v>
      </c>
      <c r="E183" t="s">
        <v>1348</v>
      </c>
      <c r="F183" t="s">
        <v>1352</v>
      </c>
      <c r="G183" t="s">
        <v>1368</v>
      </c>
      <c r="H183" s="5">
        <v>4</v>
      </c>
      <c r="I183" s="9">
        <v>2999</v>
      </c>
      <c r="J183" s="9">
        <f t="shared" si="2"/>
        <v>11996</v>
      </c>
      <c r="K183" t="s">
        <v>1379</v>
      </c>
      <c r="L183" t="s">
        <v>1384</v>
      </c>
    </row>
    <row r="184" spans="1:12" x14ac:dyDescent="0.25">
      <c r="A184" s="3">
        <v>45367</v>
      </c>
      <c r="B184" t="s">
        <v>369</v>
      </c>
      <c r="C184" t="s">
        <v>1211</v>
      </c>
      <c r="D184" t="s">
        <v>1389</v>
      </c>
      <c r="E184" t="s">
        <v>1349</v>
      </c>
      <c r="F184" t="s">
        <v>1352</v>
      </c>
      <c r="G184" t="s">
        <v>1364</v>
      </c>
      <c r="H184" s="5">
        <v>5</v>
      </c>
      <c r="I184" s="9">
        <v>3499</v>
      </c>
      <c r="J184" s="9">
        <f t="shared" si="2"/>
        <v>17495</v>
      </c>
      <c r="K184" t="s">
        <v>1379</v>
      </c>
      <c r="L184" t="s">
        <v>1384</v>
      </c>
    </row>
    <row r="185" spans="1:12" x14ac:dyDescent="0.25">
      <c r="A185" s="3">
        <v>45305</v>
      </c>
      <c r="B185" t="s">
        <v>58</v>
      </c>
      <c r="C185" t="s">
        <v>1057</v>
      </c>
      <c r="D185" t="s">
        <v>1345</v>
      </c>
      <c r="E185" t="s">
        <v>1347</v>
      </c>
      <c r="F185" t="s">
        <v>1354</v>
      </c>
      <c r="G185" t="s">
        <v>1362</v>
      </c>
      <c r="H185" s="5">
        <v>11</v>
      </c>
      <c r="I185" s="9">
        <v>2999</v>
      </c>
      <c r="J185" s="9">
        <f t="shared" si="2"/>
        <v>32989</v>
      </c>
      <c r="K185" t="s">
        <v>1377</v>
      </c>
      <c r="L185" t="s">
        <v>1380</v>
      </c>
    </row>
    <row r="186" spans="1:12" x14ac:dyDescent="0.25">
      <c r="A186" s="3">
        <v>45487</v>
      </c>
      <c r="B186" t="s">
        <v>819</v>
      </c>
      <c r="C186" t="s">
        <v>1227</v>
      </c>
      <c r="D186" t="s">
        <v>1345</v>
      </c>
      <c r="E186" t="s">
        <v>1350</v>
      </c>
      <c r="F186" t="s">
        <v>1353</v>
      </c>
      <c r="G186" t="s">
        <v>1369</v>
      </c>
      <c r="H186" s="5">
        <v>6</v>
      </c>
      <c r="I186" s="9">
        <v>1999</v>
      </c>
      <c r="J186" s="9">
        <f t="shared" si="2"/>
        <v>11994</v>
      </c>
      <c r="K186" t="s">
        <v>1377</v>
      </c>
      <c r="L186" t="s">
        <v>1381</v>
      </c>
    </row>
    <row r="187" spans="1:12" x14ac:dyDescent="0.25">
      <c r="A187" s="3">
        <v>45649</v>
      </c>
      <c r="B187" t="s">
        <v>398</v>
      </c>
      <c r="C187" t="s">
        <v>1103</v>
      </c>
      <c r="D187" t="s">
        <v>1344</v>
      </c>
      <c r="E187" t="s">
        <v>1350</v>
      </c>
      <c r="F187" t="s">
        <v>1354</v>
      </c>
      <c r="G187" t="s">
        <v>1362</v>
      </c>
      <c r="H187" s="5">
        <v>11</v>
      </c>
      <c r="I187" s="9">
        <v>2999</v>
      </c>
      <c r="J187" s="9">
        <f t="shared" si="2"/>
        <v>32989</v>
      </c>
      <c r="K187" t="s">
        <v>1379</v>
      </c>
      <c r="L187" t="s">
        <v>1383</v>
      </c>
    </row>
    <row r="188" spans="1:12" x14ac:dyDescent="0.25">
      <c r="A188" s="3">
        <v>45457</v>
      </c>
      <c r="B188" t="s">
        <v>184</v>
      </c>
      <c r="C188" t="s">
        <v>1149</v>
      </c>
      <c r="D188" t="s">
        <v>1344</v>
      </c>
      <c r="E188" t="s">
        <v>1350</v>
      </c>
      <c r="F188" t="s">
        <v>1354</v>
      </c>
      <c r="G188" t="s">
        <v>1361</v>
      </c>
      <c r="H188" s="5">
        <v>5</v>
      </c>
      <c r="I188" s="9">
        <v>1499</v>
      </c>
      <c r="J188" s="9">
        <f t="shared" si="2"/>
        <v>7495</v>
      </c>
      <c r="K188" t="s">
        <v>1378</v>
      </c>
      <c r="L188" t="s">
        <v>1382</v>
      </c>
    </row>
    <row r="189" spans="1:12" x14ac:dyDescent="0.25">
      <c r="A189" s="3">
        <v>45388</v>
      </c>
      <c r="B189" t="s">
        <v>178</v>
      </c>
      <c r="C189" t="s">
        <v>1146</v>
      </c>
      <c r="D189" t="s">
        <v>1344</v>
      </c>
      <c r="E189" t="s">
        <v>1349</v>
      </c>
      <c r="F189" t="s">
        <v>1351</v>
      </c>
      <c r="G189" t="s">
        <v>1371</v>
      </c>
      <c r="H189" s="5">
        <v>4</v>
      </c>
      <c r="I189" s="9">
        <v>499</v>
      </c>
      <c r="J189" s="9">
        <f t="shared" si="2"/>
        <v>1996</v>
      </c>
      <c r="K189" t="s">
        <v>1379</v>
      </c>
      <c r="L189" t="s">
        <v>1382</v>
      </c>
    </row>
    <row r="190" spans="1:12" x14ac:dyDescent="0.25">
      <c r="A190" s="3">
        <v>45527</v>
      </c>
      <c r="B190" t="s">
        <v>718</v>
      </c>
      <c r="C190" t="s">
        <v>1079</v>
      </c>
      <c r="D190" t="s">
        <v>1345</v>
      </c>
      <c r="E190" t="s">
        <v>1347</v>
      </c>
      <c r="F190" t="s">
        <v>1353</v>
      </c>
      <c r="G190" t="s">
        <v>1369</v>
      </c>
      <c r="H190" s="5">
        <v>7</v>
      </c>
      <c r="I190" s="9">
        <v>1499</v>
      </c>
      <c r="J190" s="9">
        <f t="shared" si="2"/>
        <v>10493</v>
      </c>
      <c r="K190" t="s">
        <v>1379</v>
      </c>
      <c r="L190" t="s">
        <v>1382</v>
      </c>
    </row>
    <row r="191" spans="1:12" x14ac:dyDescent="0.25">
      <c r="A191" s="3">
        <v>45303</v>
      </c>
      <c r="B191" t="s">
        <v>281</v>
      </c>
      <c r="C191" t="s">
        <v>1092</v>
      </c>
      <c r="D191" t="s">
        <v>1389</v>
      </c>
      <c r="E191" t="s">
        <v>1346</v>
      </c>
      <c r="F191" t="s">
        <v>1353</v>
      </c>
      <c r="G191" t="s">
        <v>1359</v>
      </c>
      <c r="H191" s="5">
        <v>14</v>
      </c>
      <c r="I191" s="9">
        <v>2499</v>
      </c>
      <c r="J191" s="9">
        <f t="shared" si="2"/>
        <v>34986</v>
      </c>
      <c r="K191" t="s">
        <v>1379</v>
      </c>
      <c r="L191" t="s">
        <v>1382</v>
      </c>
    </row>
    <row r="192" spans="1:12" x14ac:dyDescent="0.25">
      <c r="A192" s="3">
        <v>45581</v>
      </c>
      <c r="B192" t="s">
        <v>442</v>
      </c>
      <c r="C192" t="s">
        <v>1187</v>
      </c>
      <c r="D192" t="s">
        <v>1345</v>
      </c>
      <c r="E192" t="s">
        <v>1347</v>
      </c>
      <c r="F192" t="s">
        <v>1351</v>
      </c>
      <c r="G192" t="s">
        <v>1371</v>
      </c>
      <c r="H192" s="5">
        <v>43</v>
      </c>
      <c r="I192" s="9">
        <v>199</v>
      </c>
      <c r="J192" s="9">
        <f t="shared" si="2"/>
        <v>8557</v>
      </c>
      <c r="K192" t="s">
        <v>1379</v>
      </c>
      <c r="L192" t="s">
        <v>1380</v>
      </c>
    </row>
    <row r="193" spans="1:12" x14ac:dyDescent="0.25">
      <c r="A193" s="3">
        <v>45528</v>
      </c>
      <c r="B193" t="s">
        <v>285</v>
      </c>
      <c r="C193" t="s">
        <v>1119</v>
      </c>
      <c r="D193" t="s">
        <v>1345</v>
      </c>
      <c r="E193" t="s">
        <v>1347</v>
      </c>
      <c r="F193" t="s">
        <v>1353</v>
      </c>
      <c r="G193" t="s">
        <v>1369</v>
      </c>
      <c r="H193" s="5">
        <v>11</v>
      </c>
      <c r="I193" s="9">
        <v>1845</v>
      </c>
      <c r="J193" s="9">
        <f t="shared" si="2"/>
        <v>20295</v>
      </c>
      <c r="K193" t="s">
        <v>1378</v>
      </c>
      <c r="L193" t="s">
        <v>1380</v>
      </c>
    </row>
    <row r="194" spans="1:12" x14ac:dyDescent="0.25">
      <c r="A194" s="3">
        <v>45494</v>
      </c>
      <c r="B194" t="s">
        <v>908</v>
      </c>
      <c r="C194" t="s">
        <v>1292</v>
      </c>
      <c r="D194" t="s">
        <v>1345</v>
      </c>
      <c r="E194" t="s">
        <v>1348</v>
      </c>
      <c r="F194" t="s">
        <v>1354</v>
      </c>
      <c r="G194" t="s">
        <v>1362</v>
      </c>
      <c r="H194" s="5">
        <v>16</v>
      </c>
      <c r="I194" s="9">
        <v>999</v>
      </c>
      <c r="J194" s="9">
        <f t="shared" ref="J194:J257" si="3">H194*I194</f>
        <v>15984</v>
      </c>
      <c r="K194" t="s">
        <v>1379</v>
      </c>
      <c r="L194" t="s">
        <v>1382</v>
      </c>
    </row>
    <row r="195" spans="1:12" x14ac:dyDescent="0.25">
      <c r="A195" s="3">
        <v>45518</v>
      </c>
      <c r="B195" t="s">
        <v>685</v>
      </c>
      <c r="C195" t="s">
        <v>1112</v>
      </c>
      <c r="D195" t="s">
        <v>1344</v>
      </c>
      <c r="E195" t="s">
        <v>1347</v>
      </c>
      <c r="F195" t="s">
        <v>1354</v>
      </c>
      <c r="G195" t="s">
        <v>1361</v>
      </c>
      <c r="H195" s="5">
        <v>41</v>
      </c>
      <c r="I195" s="9">
        <v>199</v>
      </c>
      <c r="J195" s="9">
        <f t="shared" si="3"/>
        <v>8159</v>
      </c>
      <c r="K195" t="s">
        <v>1376</v>
      </c>
      <c r="L195" t="s">
        <v>1384</v>
      </c>
    </row>
    <row r="196" spans="1:12" x14ac:dyDescent="0.25">
      <c r="A196" s="3">
        <v>45417</v>
      </c>
      <c r="B196" t="s">
        <v>861</v>
      </c>
      <c r="C196" t="s">
        <v>1054</v>
      </c>
      <c r="D196" t="s">
        <v>1344</v>
      </c>
      <c r="E196" t="s">
        <v>1349</v>
      </c>
      <c r="F196" t="s">
        <v>1353</v>
      </c>
      <c r="G196" t="s">
        <v>1369</v>
      </c>
      <c r="H196" s="5">
        <v>10</v>
      </c>
      <c r="I196" s="9">
        <v>2499</v>
      </c>
      <c r="J196" s="9">
        <f t="shared" si="3"/>
        <v>24990</v>
      </c>
      <c r="K196" t="s">
        <v>1376</v>
      </c>
      <c r="L196" t="s">
        <v>1380</v>
      </c>
    </row>
    <row r="197" spans="1:12" x14ac:dyDescent="0.25">
      <c r="A197" s="3">
        <v>45611</v>
      </c>
      <c r="B197" t="s">
        <v>707</v>
      </c>
      <c r="C197" t="s">
        <v>1066</v>
      </c>
      <c r="D197" t="s">
        <v>1345</v>
      </c>
      <c r="E197" t="s">
        <v>1349</v>
      </c>
      <c r="F197" t="s">
        <v>1352</v>
      </c>
      <c r="G197" t="s">
        <v>1368</v>
      </c>
      <c r="H197" s="5">
        <v>35</v>
      </c>
      <c r="I197" s="9">
        <v>499</v>
      </c>
      <c r="J197" s="9">
        <f t="shared" si="3"/>
        <v>17465</v>
      </c>
      <c r="K197" t="s">
        <v>1377</v>
      </c>
      <c r="L197" t="s">
        <v>1380</v>
      </c>
    </row>
    <row r="198" spans="1:12" x14ac:dyDescent="0.25">
      <c r="A198" s="3">
        <v>45543</v>
      </c>
      <c r="B198" t="s">
        <v>327</v>
      </c>
      <c r="C198" t="s">
        <v>1216</v>
      </c>
      <c r="D198" t="s">
        <v>1344</v>
      </c>
      <c r="E198" t="s">
        <v>1348</v>
      </c>
      <c r="F198" t="s">
        <v>1354</v>
      </c>
      <c r="G198" t="s">
        <v>1361</v>
      </c>
      <c r="H198" s="5">
        <v>23</v>
      </c>
      <c r="I198" s="9">
        <v>1749</v>
      </c>
      <c r="J198" s="9">
        <f t="shared" si="3"/>
        <v>40227</v>
      </c>
      <c r="K198" t="s">
        <v>1379</v>
      </c>
      <c r="L198" t="s">
        <v>1381</v>
      </c>
    </row>
    <row r="199" spans="1:12" x14ac:dyDescent="0.25">
      <c r="A199" s="3">
        <v>45395</v>
      </c>
      <c r="B199" t="s">
        <v>957</v>
      </c>
      <c r="C199" t="s">
        <v>1121</v>
      </c>
      <c r="D199" t="s">
        <v>1389</v>
      </c>
      <c r="E199" t="s">
        <v>1350</v>
      </c>
      <c r="F199" t="s">
        <v>1352</v>
      </c>
      <c r="G199" t="s">
        <v>1364</v>
      </c>
      <c r="H199" s="5">
        <v>39</v>
      </c>
      <c r="I199" s="9">
        <v>1499</v>
      </c>
      <c r="J199" s="9">
        <f t="shared" si="3"/>
        <v>58461</v>
      </c>
      <c r="K199" t="s">
        <v>1379</v>
      </c>
      <c r="L199" t="s">
        <v>1384</v>
      </c>
    </row>
    <row r="200" spans="1:12" x14ac:dyDescent="0.25">
      <c r="A200" s="3">
        <v>45527</v>
      </c>
      <c r="B200" t="s">
        <v>220</v>
      </c>
      <c r="C200" t="s">
        <v>1172</v>
      </c>
      <c r="D200" t="s">
        <v>1344</v>
      </c>
      <c r="E200" t="s">
        <v>1349</v>
      </c>
      <c r="F200" t="s">
        <v>1351</v>
      </c>
      <c r="G200" t="s">
        <v>1371</v>
      </c>
      <c r="H200" s="5">
        <v>11</v>
      </c>
      <c r="I200" s="9">
        <v>3499</v>
      </c>
      <c r="J200" s="9">
        <f t="shared" si="3"/>
        <v>38489</v>
      </c>
      <c r="K200" t="s">
        <v>1379</v>
      </c>
      <c r="L200" t="s">
        <v>1383</v>
      </c>
    </row>
    <row r="201" spans="1:12" x14ac:dyDescent="0.25">
      <c r="A201" s="3">
        <v>45541</v>
      </c>
      <c r="B201" t="s">
        <v>572</v>
      </c>
      <c r="C201" t="s">
        <v>1069</v>
      </c>
      <c r="D201" t="s">
        <v>1345</v>
      </c>
      <c r="E201" t="s">
        <v>1346</v>
      </c>
      <c r="F201" t="s">
        <v>1354</v>
      </c>
      <c r="G201" t="s">
        <v>1363</v>
      </c>
      <c r="H201" s="5">
        <v>44</v>
      </c>
      <c r="I201" s="9">
        <v>1749</v>
      </c>
      <c r="J201" s="9">
        <f t="shared" si="3"/>
        <v>76956</v>
      </c>
      <c r="K201" t="s">
        <v>1377</v>
      </c>
      <c r="L201" t="s">
        <v>1382</v>
      </c>
    </row>
    <row r="202" spans="1:12" x14ac:dyDescent="0.25">
      <c r="A202" s="3">
        <v>45456</v>
      </c>
      <c r="B202" t="s">
        <v>481</v>
      </c>
      <c r="C202" t="s">
        <v>1058</v>
      </c>
      <c r="D202" t="s">
        <v>1345</v>
      </c>
      <c r="E202" t="s">
        <v>1349</v>
      </c>
      <c r="F202" t="s">
        <v>1351</v>
      </c>
      <c r="G202" t="s">
        <v>1356</v>
      </c>
      <c r="H202" s="5">
        <v>21</v>
      </c>
      <c r="I202" s="9">
        <v>3499</v>
      </c>
      <c r="J202" s="9">
        <f t="shared" si="3"/>
        <v>73479</v>
      </c>
      <c r="K202" t="s">
        <v>1379</v>
      </c>
      <c r="L202" t="s">
        <v>1382</v>
      </c>
    </row>
    <row r="203" spans="1:12" x14ac:dyDescent="0.25">
      <c r="A203" s="3">
        <v>45392</v>
      </c>
      <c r="B203" t="s">
        <v>149</v>
      </c>
      <c r="C203" t="s">
        <v>1105</v>
      </c>
      <c r="D203" t="s">
        <v>1344</v>
      </c>
      <c r="E203" t="s">
        <v>1349</v>
      </c>
      <c r="F203" t="s">
        <v>1355</v>
      </c>
      <c r="G203" t="s">
        <v>1374</v>
      </c>
      <c r="H203" s="5">
        <v>41</v>
      </c>
      <c r="I203" s="9">
        <v>2999</v>
      </c>
      <c r="J203" s="9">
        <f t="shared" si="3"/>
        <v>122959</v>
      </c>
      <c r="K203" t="s">
        <v>1379</v>
      </c>
      <c r="L203" t="s">
        <v>1384</v>
      </c>
    </row>
    <row r="204" spans="1:12" x14ac:dyDescent="0.25">
      <c r="A204" s="3">
        <v>45390</v>
      </c>
      <c r="B204" t="s">
        <v>55</v>
      </c>
      <c r="C204" t="s">
        <v>1031</v>
      </c>
      <c r="D204" t="s">
        <v>1389</v>
      </c>
      <c r="E204" t="s">
        <v>1349</v>
      </c>
      <c r="F204" t="s">
        <v>1354</v>
      </c>
      <c r="G204" t="s">
        <v>1362</v>
      </c>
      <c r="H204" s="5">
        <v>1</v>
      </c>
      <c r="I204" s="9">
        <v>2999</v>
      </c>
      <c r="J204" s="9">
        <f t="shared" si="3"/>
        <v>2999</v>
      </c>
      <c r="K204" t="s">
        <v>1376</v>
      </c>
      <c r="L204" t="s">
        <v>1381</v>
      </c>
    </row>
    <row r="205" spans="1:12" x14ac:dyDescent="0.25">
      <c r="A205" s="3">
        <v>45375</v>
      </c>
      <c r="B205" t="s">
        <v>895</v>
      </c>
      <c r="C205" t="s">
        <v>1096</v>
      </c>
      <c r="D205" t="s">
        <v>1345</v>
      </c>
      <c r="E205" t="s">
        <v>1349</v>
      </c>
      <c r="F205" t="s">
        <v>1351</v>
      </c>
      <c r="G205" t="s">
        <v>1371</v>
      </c>
      <c r="H205" s="5">
        <v>25</v>
      </c>
      <c r="I205" s="9">
        <v>1999</v>
      </c>
      <c r="J205" s="9">
        <f t="shared" si="3"/>
        <v>49975</v>
      </c>
      <c r="K205" t="s">
        <v>1377</v>
      </c>
      <c r="L205" t="s">
        <v>1382</v>
      </c>
    </row>
    <row r="206" spans="1:12" x14ac:dyDescent="0.25">
      <c r="A206" s="3">
        <v>45360</v>
      </c>
      <c r="B206" t="s">
        <v>62</v>
      </c>
      <c r="C206" t="s">
        <v>1068</v>
      </c>
      <c r="D206" t="s">
        <v>1389</v>
      </c>
      <c r="E206" t="s">
        <v>1349</v>
      </c>
      <c r="F206" t="s">
        <v>1355</v>
      </c>
      <c r="G206" t="s">
        <v>1360</v>
      </c>
      <c r="H206" s="5">
        <v>3</v>
      </c>
      <c r="I206" s="9">
        <v>2999</v>
      </c>
      <c r="J206" s="9">
        <f t="shared" si="3"/>
        <v>8997</v>
      </c>
      <c r="K206" t="s">
        <v>1378</v>
      </c>
      <c r="L206" t="s">
        <v>1383</v>
      </c>
    </row>
    <row r="207" spans="1:12" x14ac:dyDescent="0.25">
      <c r="A207" s="3">
        <v>45327</v>
      </c>
      <c r="B207" t="s">
        <v>259</v>
      </c>
      <c r="C207" t="s">
        <v>1158</v>
      </c>
      <c r="D207" t="s">
        <v>1344</v>
      </c>
      <c r="E207" t="s">
        <v>1349</v>
      </c>
      <c r="F207" t="s">
        <v>1353</v>
      </c>
      <c r="G207" t="s">
        <v>1369</v>
      </c>
      <c r="H207" s="5">
        <v>42</v>
      </c>
      <c r="I207" s="9">
        <v>2999</v>
      </c>
      <c r="J207" s="9">
        <f t="shared" si="3"/>
        <v>125958</v>
      </c>
      <c r="K207" t="s">
        <v>1377</v>
      </c>
      <c r="L207" t="s">
        <v>1384</v>
      </c>
    </row>
    <row r="208" spans="1:12" x14ac:dyDescent="0.25">
      <c r="A208" s="3">
        <v>45319</v>
      </c>
      <c r="B208" t="s">
        <v>865</v>
      </c>
      <c r="C208" t="s">
        <v>1332</v>
      </c>
      <c r="D208" t="s">
        <v>1344</v>
      </c>
      <c r="E208" t="s">
        <v>1347</v>
      </c>
      <c r="F208" t="s">
        <v>1355</v>
      </c>
      <c r="G208" t="s">
        <v>1372</v>
      </c>
      <c r="H208" s="5">
        <v>18</v>
      </c>
      <c r="I208" s="9">
        <v>999</v>
      </c>
      <c r="J208" s="9">
        <f t="shared" si="3"/>
        <v>17982</v>
      </c>
      <c r="K208" t="s">
        <v>1379</v>
      </c>
      <c r="L208" t="s">
        <v>1380</v>
      </c>
    </row>
    <row r="209" spans="1:12" x14ac:dyDescent="0.25">
      <c r="A209" s="3">
        <v>45515</v>
      </c>
      <c r="B209" t="s">
        <v>742</v>
      </c>
      <c r="C209" t="s">
        <v>1121</v>
      </c>
      <c r="D209" t="s">
        <v>1344</v>
      </c>
      <c r="E209" t="s">
        <v>1347</v>
      </c>
      <c r="F209" t="s">
        <v>1353</v>
      </c>
      <c r="G209" t="s">
        <v>1369</v>
      </c>
      <c r="H209" s="5">
        <v>8</v>
      </c>
      <c r="I209" s="9">
        <v>199</v>
      </c>
      <c r="J209" s="9">
        <f t="shared" si="3"/>
        <v>1592</v>
      </c>
      <c r="K209" t="s">
        <v>1376</v>
      </c>
      <c r="L209" t="s">
        <v>1383</v>
      </c>
    </row>
    <row r="210" spans="1:12" x14ac:dyDescent="0.25">
      <c r="A210" s="3">
        <v>45402</v>
      </c>
      <c r="B210" t="s">
        <v>488</v>
      </c>
      <c r="C210" t="s">
        <v>1097</v>
      </c>
      <c r="D210" t="s">
        <v>1344</v>
      </c>
      <c r="E210" t="s">
        <v>1349</v>
      </c>
      <c r="F210" t="s">
        <v>1354</v>
      </c>
      <c r="G210" t="s">
        <v>1366</v>
      </c>
      <c r="H210" s="5">
        <v>17</v>
      </c>
      <c r="I210" s="9">
        <v>1999</v>
      </c>
      <c r="J210" s="9">
        <f t="shared" si="3"/>
        <v>33983</v>
      </c>
      <c r="K210" t="s">
        <v>1379</v>
      </c>
      <c r="L210" t="s">
        <v>1384</v>
      </c>
    </row>
    <row r="211" spans="1:12" x14ac:dyDescent="0.25">
      <c r="A211" s="3">
        <v>45534</v>
      </c>
      <c r="B211" t="s">
        <v>703</v>
      </c>
      <c r="C211" t="s">
        <v>1173</v>
      </c>
      <c r="D211" t="s">
        <v>1389</v>
      </c>
      <c r="E211" t="s">
        <v>1349</v>
      </c>
      <c r="F211" t="s">
        <v>1351</v>
      </c>
      <c r="G211" t="s">
        <v>1370</v>
      </c>
      <c r="H211" s="5">
        <v>39</v>
      </c>
      <c r="I211" s="9">
        <v>1999</v>
      </c>
      <c r="J211" s="9">
        <f t="shared" si="3"/>
        <v>77961</v>
      </c>
      <c r="K211" t="s">
        <v>1379</v>
      </c>
      <c r="L211" t="s">
        <v>1382</v>
      </c>
    </row>
    <row r="212" spans="1:12" x14ac:dyDescent="0.25">
      <c r="A212" s="3">
        <v>45527</v>
      </c>
      <c r="B212" t="s">
        <v>543</v>
      </c>
      <c r="C212" t="s">
        <v>1292</v>
      </c>
      <c r="D212" t="s">
        <v>1344</v>
      </c>
      <c r="E212" t="s">
        <v>1347</v>
      </c>
      <c r="F212" t="s">
        <v>1355</v>
      </c>
      <c r="G212" t="s">
        <v>1372</v>
      </c>
      <c r="H212" s="5">
        <v>33</v>
      </c>
      <c r="I212" s="9">
        <v>199</v>
      </c>
      <c r="J212" s="9">
        <f t="shared" si="3"/>
        <v>6567</v>
      </c>
      <c r="K212" t="s">
        <v>1376</v>
      </c>
      <c r="L212" t="s">
        <v>1380</v>
      </c>
    </row>
    <row r="213" spans="1:12" x14ac:dyDescent="0.25">
      <c r="A213" s="3">
        <v>45351</v>
      </c>
      <c r="B213" t="s">
        <v>267</v>
      </c>
      <c r="C213" t="s">
        <v>1194</v>
      </c>
      <c r="D213" t="s">
        <v>1345</v>
      </c>
      <c r="E213" t="s">
        <v>1347</v>
      </c>
      <c r="F213" t="s">
        <v>1355</v>
      </c>
      <c r="G213" t="s">
        <v>1374</v>
      </c>
      <c r="H213" s="5">
        <v>13</v>
      </c>
      <c r="I213" s="9">
        <v>2999</v>
      </c>
      <c r="J213" s="9">
        <f t="shared" si="3"/>
        <v>38987</v>
      </c>
      <c r="K213" t="s">
        <v>1379</v>
      </c>
      <c r="L213" t="s">
        <v>1380</v>
      </c>
    </row>
    <row r="214" spans="1:12" x14ac:dyDescent="0.25">
      <c r="A214" s="3">
        <v>45385</v>
      </c>
      <c r="B214" t="s">
        <v>528</v>
      </c>
      <c r="C214" t="s">
        <v>1289</v>
      </c>
      <c r="D214" t="s">
        <v>1389</v>
      </c>
      <c r="E214" t="s">
        <v>1349</v>
      </c>
      <c r="F214" t="s">
        <v>1351</v>
      </c>
      <c r="G214" t="s">
        <v>1371</v>
      </c>
      <c r="H214" s="5">
        <v>0</v>
      </c>
      <c r="I214" s="9">
        <v>2499</v>
      </c>
      <c r="J214" s="9">
        <f t="shared" si="3"/>
        <v>0</v>
      </c>
      <c r="K214" t="s">
        <v>1376</v>
      </c>
      <c r="L214" t="s">
        <v>1382</v>
      </c>
    </row>
    <row r="215" spans="1:12" x14ac:dyDescent="0.25">
      <c r="A215" s="3">
        <v>45345</v>
      </c>
      <c r="B215" t="s">
        <v>428</v>
      </c>
      <c r="C215" t="s">
        <v>1087</v>
      </c>
      <c r="D215" t="s">
        <v>1345</v>
      </c>
      <c r="E215" t="s">
        <v>1348</v>
      </c>
      <c r="F215" t="s">
        <v>1352</v>
      </c>
      <c r="G215" t="s">
        <v>1358</v>
      </c>
      <c r="H215" s="5">
        <v>42</v>
      </c>
      <c r="I215" s="9">
        <v>1999</v>
      </c>
      <c r="J215" s="9">
        <f t="shared" si="3"/>
        <v>83958</v>
      </c>
      <c r="K215" t="s">
        <v>1378</v>
      </c>
      <c r="L215" t="s">
        <v>1384</v>
      </c>
    </row>
    <row r="216" spans="1:12" x14ac:dyDescent="0.25">
      <c r="A216" s="3">
        <v>45309</v>
      </c>
      <c r="B216" t="s">
        <v>689</v>
      </c>
      <c r="C216" t="s">
        <v>1059</v>
      </c>
      <c r="D216" t="s">
        <v>1389</v>
      </c>
      <c r="E216" t="s">
        <v>1347</v>
      </c>
      <c r="F216" t="s">
        <v>1355</v>
      </c>
      <c r="G216" t="s">
        <v>1373</v>
      </c>
      <c r="H216" s="5">
        <v>8</v>
      </c>
      <c r="I216" s="9">
        <v>2499</v>
      </c>
      <c r="J216" s="9">
        <f t="shared" si="3"/>
        <v>19992</v>
      </c>
      <c r="K216" t="s">
        <v>1377</v>
      </c>
      <c r="L216" t="s">
        <v>1384</v>
      </c>
    </row>
    <row r="217" spans="1:12" x14ac:dyDescent="0.25">
      <c r="A217" s="3">
        <v>45464</v>
      </c>
      <c r="B217" t="s">
        <v>622</v>
      </c>
      <c r="C217" t="s">
        <v>1307</v>
      </c>
      <c r="D217" t="s">
        <v>1389</v>
      </c>
      <c r="E217" t="s">
        <v>1346</v>
      </c>
      <c r="F217" t="s">
        <v>1352</v>
      </c>
      <c r="G217" t="s">
        <v>1358</v>
      </c>
      <c r="H217" s="5">
        <v>31</v>
      </c>
      <c r="I217" s="9">
        <v>3499</v>
      </c>
      <c r="J217" s="9">
        <f t="shared" si="3"/>
        <v>108469</v>
      </c>
      <c r="K217" t="s">
        <v>1379</v>
      </c>
      <c r="L217" t="s">
        <v>1381</v>
      </c>
    </row>
    <row r="218" spans="1:12" x14ac:dyDescent="0.25">
      <c r="A218" s="3">
        <v>45604</v>
      </c>
      <c r="B218" t="s">
        <v>150</v>
      </c>
      <c r="C218" t="s">
        <v>1130</v>
      </c>
      <c r="D218" t="s">
        <v>1389</v>
      </c>
      <c r="E218" t="s">
        <v>1349</v>
      </c>
      <c r="F218" t="s">
        <v>1351</v>
      </c>
      <c r="G218" t="s">
        <v>1370</v>
      </c>
      <c r="H218" s="5">
        <v>7</v>
      </c>
      <c r="I218" s="9">
        <v>199</v>
      </c>
      <c r="J218" s="9">
        <f t="shared" si="3"/>
        <v>1393</v>
      </c>
      <c r="K218" t="s">
        <v>1379</v>
      </c>
      <c r="L218" t="s">
        <v>1384</v>
      </c>
    </row>
    <row r="219" spans="1:12" x14ac:dyDescent="0.25">
      <c r="A219" s="3">
        <v>45461</v>
      </c>
      <c r="B219" t="s">
        <v>602</v>
      </c>
      <c r="C219" t="s">
        <v>1029</v>
      </c>
      <c r="D219" t="s">
        <v>1344</v>
      </c>
      <c r="E219" t="s">
        <v>1350</v>
      </c>
      <c r="F219" t="s">
        <v>1353</v>
      </c>
      <c r="G219" t="s">
        <v>1359</v>
      </c>
      <c r="H219" s="5">
        <v>0</v>
      </c>
      <c r="I219" s="9">
        <v>2499</v>
      </c>
      <c r="J219" s="9">
        <f t="shared" si="3"/>
        <v>0</v>
      </c>
      <c r="K219" t="s">
        <v>1377</v>
      </c>
      <c r="L219" t="s">
        <v>1382</v>
      </c>
    </row>
    <row r="220" spans="1:12" x14ac:dyDescent="0.25">
      <c r="A220" s="3">
        <v>45386</v>
      </c>
      <c r="B220" t="s">
        <v>20</v>
      </c>
      <c r="C220" t="s">
        <v>1032</v>
      </c>
      <c r="D220" t="s">
        <v>1345</v>
      </c>
      <c r="E220" t="s">
        <v>1349</v>
      </c>
      <c r="F220" t="s">
        <v>1354</v>
      </c>
      <c r="G220" t="s">
        <v>1362</v>
      </c>
      <c r="H220" s="5">
        <v>4</v>
      </c>
      <c r="I220" s="9">
        <v>2499</v>
      </c>
      <c r="J220" s="9">
        <f t="shared" si="3"/>
        <v>9996</v>
      </c>
      <c r="K220" t="s">
        <v>1377</v>
      </c>
      <c r="L220" t="s">
        <v>1381</v>
      </c>
    </row>
    <row r="221" spans="1:12" x14ac:dyDescent="0.25">
      <c r="A221" s="3">
        <v>45580</v>
      </c>
      <c r="B221" t="s">
        <v>769</v>
      </c>
      <c r="C221" t="s">
        <v>1279</v>
      </c>
      <c r="D221" t="s">
        <v>1344</v>
      </c>
      <c r="E221" t="s">
        <v>1349</v>
      </c>
      <c r="F221" t="s">
        <v>1351</v>
      </c>
      <c r="G221" t="s">
        <v>1356</v>
      </c>
      <c r="H221" s="5">
        <v>15</v>
      </c>
      <c r="I221" s="9">
        <v>2999</v>
      </c>
      <c r="J221" s="9">
        <f t="shared" si="3"/>
        <v>44985</v>
      </c>
      <c r="K221" t="s">
        <v>1379</v>
      </c>
      <c r="L221" t="s">
        <v>1382</v>
      </c>
    </row>
    <row r="222" spans="1:12" x14ac:dyDescent="0.25">
      <c r="A222" s="3">
        <v>45418</v>
      </c>
      <c r="B222" t="s">
        <v>941</v>
      </c>
      <c r="C222" t="s">
        <v>1128</v>
      </c>
      <c r="D222" t="s">
        <v>1344</v>
      </c>
      <c r="E222" t="s">
        <v>1349</v>
      </c>
      <c r="F222" t="s">
        <v>1353</v>
      </c>
      <c r="G222" t="s">
        <v>1365</v>
      </c>
      <c r="H222" s="5">
        <v>10</v>
      </c>
      <c r="I222" s="9">
        <v>1499</v>
      </c>
      <c r="J222" s="9">
        <f t="shared" si="3"/>
        <v>14990</v>
      </c>
      <c r="K222" t="s">
        <v>1379</v>
      </c>
      <c r="L222" t="s">
        <v>1383</v>
      </c>
    </row>
    <row r="223" spans="1:12" x14ac:dyDescent="0.25">
      <c r="A223" s="3">
        <v>45330</v>
      </c>
      <c r="B223" t="s">
        <v>962</v>
      </c>
      <c r="C223" t="s">
        <v>1086</v>
      </c>
      <c r="D223" t="s">
        <v>1344</v>
      </c>
      <c r="E223" t="s">
        <v>1346</v>
      </c>
      <c r="F223" t="s">
        <v>1351</v>
      </c>
      <c r="G223" t="s">
        <v>1371</v>
      </c>
      <c r="H223" s="5">
        <v>17</v>
      </c>
      <c r="I223" s="9">
        <v>2499</v>
      </c>
      <c r="J223" s="9">
        <f t="shared" si="3"/>
        <v>42483</v>
      </c>
      <c r="K223" t="s">
        <v>1377</v>
      </c>
      <c r="L223" t="s">
        <v>1382</v>
      </c>
    </row>
    <row r="224" spans="1:12" x14ac:dyDescent="0.25">
      <c r="A224" s="3">
        <v>45364</v>
      </c>
      <c r="B224" t="s">
        <v>876</v>
      </c>
      <c r="C224" t="s">
        <v>1057</v>
      </c>
      <c r="D224" t="s">
        <v>1344</v>
      </c>
      <c r="E224" t="s">
        <v>1347</v>
      </c>
      <c r="F224" t="s">
        <v>1353</v>
      </c>
      <c r="G224" t="s">
        <v>1365</v>
      </c>
      <c r="H224" s="5">
        <v>4</v>
      </c>
      <c r="I224" s="9">
        <v>2499</v>
      </c>
      <c r="J224" s="9">
        <f t="shared" si="3"/>
        <v>9996</v>
      </c>
      <c r="K224" t="s">
        <v>1379</v>
      </c>
      <c r="L224" t="s">
        <v>1381</v>
      </c>
    </row>
    <row r="225" spans="1:12" x14ac:dyDescent="0.25">
      <c r="A225" s="3">
        <v>45543</v>
      </c>
      <c r="B225" t="s">
        <v>108</v>
      </c>
      <c r="C225" t="s">
        <v>1105</v>
      </c>
      <c r="D225" t="s">
        <v>1344</v>
      </c>
      <c r="E225" t="s">
        <v>1349</v>
      </c>
      <c r="F225" t="s">
        <v>1351</v>
      </c>
      <c r="G225" t="s">
        <v>1356</v>
      </c>
      <c r="H225" s="5">
        <v>14</v>
      </c>
      <c r="I225" s="9">
        <v>1999</v>
      </c>
      <c r="J225" s="9">
        <f t="shared" si="3"/>
        <v>27986</v>
      </c>
      <c r="K225" t="s">
        <v>1377</v>
      </c>
      <c r="L225" t="s">
        <v>1380</v>
      </c>
    </row>
    <row r="226" spans="1:12" x14ac:dyDescent="0.25">
      <c r="A226" s="3">
        <v>45300</v>
      </c>
      <c r="B226" t="s">
        <v>755</v>
      </c>
      <c r="C226" t="s">
        <v>1280</v>
      </c>
      <c r="D226" t="s">
        <v>1389</v>
      </c>
      <c r="E226" t="s">
        <v>1347</v>
      </c>
      <c r="F226" t="s">
        <v>1351</v>
      </c>
      <c r="G226" t="s">
        <v>1371</v>
      </c>
      <c r="H226" s="5">
        <v>5</v>
      </c>
      <c r="I226" s="9">
        <v>1499</v>
      </c>
      <c r="J226" s="9">
        <f t="shared" si="3"/>
        <v>7495</v>
      </c>
      <c r="K226" t="s">
        <v>1379</v>
      </c>
      <c r="L226" t="s">
        <v>1382</v>
      </c>
    </row>
    <row r="227" spans="1:12" x14ac:dyDescent="0.25">
      <c r="A227" s="3">
        <v>45461</v>
      </c>
      <c r="B227" t="s">
        <v>746</v>
      </c>
      <c r="C227" t="s">
        <v>1277</v>
      </c>
      <c r="D227" t="s">
        <v>1345</v>
      </c>
      <c r="E227" t="s">
        <v>1347</v>
      </c>
      <c r="F227" t="s">
        <v>1352</v>
      </c>
      <c r="G227" t="s">
        <v>1358</v>
      </c>
      <c r="H227" s="5">
        <v>42</v>
      </c>
      <c r="I227" s="9">
        <v>3499</v>
      </c>
      <c r="J227" s="9">
        <f t="shared" si="3"/>
        <v>146958</v>
      </c>
      <c r="K227" t="s">
        <v>1379</v>
      </c>
      <c r="L227" t="s">
        <v>1383</v>
      </c>
    </row>
    <row r="228" spans="1:12" x14ac:dyDescent="0.25">
      <c r="A228" s="3">
        <v>45492</v>
      </c>
      <c r="B228" t="s">
        <v>1017</v>
      </c>
      <c r="C228" t="s">
        <v>1187</v>
      </c>
      <c r="D228" t="s">
        <v>1345</v>
      </c>
      <c r="E228" t="s">
        <v>1347</v>
      </c>
      <c r="F228" t="s">
        <v>1353</v>
      </c>
      <c r="G228" t="s">
        <v>1359</v>
      </c>
      <c r="H228" s="5">
        <v>26</v>
      </c>
      <c r="I228" s="9">
        <v>999</v>
      </c>
      <c r="J228" s="9">
        <f t="shared" si="3"/>
        <v>25974</v>
      </c>
      <c r="K228" t="s">
        <v>1379</v>
      </c>
      <c r="L228" t="s">
        <v>1380</v>
      </c>
    </row>
    <row r="229" spans="1:12" x14ac:dyDescent="0.25">
      <c r="A229" s="3">
        <v>45585</v>
      </c>
      <c r="B229" t="s">
        <v>316</v>
      </c>
      <c r="C229" t="s">
        <v>1153</v>
      </c>
      <c r="D229" t="s">
        <v>1345</v>
      </c>
      <c r="E229" t="s">
        <v>1350</v>
      </c>
      <c r="F229" t="s">
        <v>1355</v>
      </c>
      <c r="G229" t="s">
        <v>1373</v>
      </c>
      <c r="H229" s="5">
        <v>27</v>
      </c>
      <c r="I229" s="9">
        <v>999</v>
      </c>
      <c r="J229" s="9">
        <f t="shared" si="3"/>
        <v>26973</v>
      </c>
      <c r="K229" t="s">
        <v>1379</v>
      </c>
      <c r="L229" t="s">
        <v>1381</v>
      </c>
    </row>
    <row r="230" spans="1:12" x14ac:dyDescent="0.25">
      <c r="A230" s="3">
        <v>45441</v>
      </c>
      <c r="B230" t="s">
        <v>44</v>
      </c>
      <c r="C230" t="s">
        <v>1054</v>
      </c>
      <c r="D230" t="s">
        <v>1344</v>
      </c>
      <c r="E230" t="s">
        <v>1347</v>
      </c>
      <c r="F230" t="s">
        <v>1353</v>
      </c>
      <c r="G230" t="s">
        <v>1369</v>
      </c>
      <c r="H230" s="5">
        <v>26</v>
      </c>
      <c r="I230" s="9">
        <v>999</v>
      </c>
      <c r="J230" s="9">
        <f t="shared" si="3"/>
        <v>25974</v>
      </c>
      <c r="K230" t="s">
        <v>1376</v>
      </c>
      <c r="L230" t="s">
        <v>1382</v>
      </c>
    </row>
    <row r="231" spans="1:12" x14ac:dyDescent="0.25">
      <c r="A231" s="3">
        <v>45544</v>
      </c>
      <c r="B231" t="s">
        <v>629</v>
      </c>
      <c r="C231" t="s">
        <v>1117</v>
      </c>
      <c r="D231" t="s">
        <v>1344</v>
      </c>
      <c r="E231" t="s">
        <v>1347</v>
      </c>
      <c r="F231" t="s">
        <v>1355</v>
      </c>
      <c r="G231" t="s">
        <v>1373</v>
      </c>
      <c r="H231" s="5">
        <v>3</v>
      </c>
      <c r="I231" s="9">
        <v>1499</v>
      </c>
      <c r="J231" s="9">
        <f t="shared" si="3"/>
        <v>4497</v>
      </c>
      <c r="K231" t="s">
        <v>1379</v>
      </c>
      <c r="L231" t="s">
        <v>1384</v>
      </c>
    </row>
    <row r="232" spans="1:12" x14ac:dyDescent="0.25">
      <c r="A232" s="3">
        <v>45610</v>
      </c>
      <c r="B232" t="s">
        <v>800</v>
      </c>
      <c r="C232" t="s">
        <v>1117</v>
      </c>
      <c r="D232" t="s">
        <v>1345</v>
      </c>
      <c r="E232" t="s">
        <v>1349</v>
      </c>
      <c r="F232" t="s">
        <v>1355</v>
      </c>
      <c r="G232" t="s">
        <v>1372</v>
      </c>
      <c r="H232" s="5">
        <v>7</v>
      </c>
      <c r="I232" s="9">
        <v>1838</v>
      </c>
      <c r="J232" s="9">
        <f t="shared" si="3"/>
        <v>12866</v>
      </c>
      <c r="K232" t="s">
        <v>1376</v>
      </c>
      <c r="L232" t="s">
        <v>1382</v>
      </c>
    </row>
    <row r="233" spans="1:12" x14ac:dyDescent="0.25">
      <c r="A233" s="3">
        <v>45356</v>
      </c>
      <c r="B233" t="s">
        <v>226</v>
      </c>
      <c r="C233" t="s">
        <v>1176</v>
      </c>
      <c r="D233" t="s">
        <v>1344</v>
      </c>
      <c r="E233" t="s">
        <v>1348</v>
      </c>
      <c r="F233" t="s">
        <v>1355</v>
      </c>
      <c r="G233" t="s">
        <v>1374</v>
      </c>
      <c r="H233" s="5">
        <v>6</v>
      </c>
      <c r="I233" s="9">
        <v>3499</v>
      </c>
      <c r="J233" s="9">
        <f t="shared" si="3"/>
        <v>20994</v>
      </c>
      <c r="K233" t="s">
        <v>1379</v>
      </c>
      <c r="L233" t="s">
        <v>1384</v>
      </c>
    </row>
    <row r="234" spans="1:12" x14ac:dyDescent="0.25">
      <c r="A234" s="3">
        <v>45436</v>
      </c>
      <c r="B234" t="s">
        <v>432</v>
      </c>
      <c r="C234" t="s">
        <v>1107</v>
      </c>
      <c r="D234" t="s">
        <v>1344</v>
      </c>
      <c r="E234" t="s">
        <v>1348</v>
      </c>
      <c r="F234" t="s">
        <v>1351</v>
      </c>
      <c r="G234" t="s">
        <v>1356</v>
      </c>
      <c r="H234" s="5">
        <v>6</v>
      </c>
      <c r="I234" s="9">
        <v>3499</v>
      </c>
      <c r="J234" s="9">
        <f t="shared" si="3"/>
        <v>20994</v>
      </c>
      <c r="K234" t="s">
        <v>1378</v>
      </c>
      <c r="L234" t="s">
        <v>1382</v>
      </c>
    </row>
    <row r="235" spans="1:12" x14ac:dyDescent="0.25">
      <c r="A235" s="3">
        <v>45640</v>
      </c>
      <c r="B235" t="s">
        <v>24</v>
      </c>
      <c r="C235" t="s">
        <v>1036</v>
      </c>
      <c r="D235" t="s">
        <v>1344</v>
      </c>
      <c r="E235" t="s">
        <v>1350</v>
      </c>
      <c r="F235" t="s">
        <v>1353</v>
      </c>
      <c r="G235" t="s">
        <v>1365</v>
      </c>
      <c r="H235" s="5">
        <v>7</v>
      </c>
      <c r="I235" s="9">
        <v>2499</v>
      </c>
      <c r="J235" s="9">
        <f t="shared" si="3"/>
        <v>17493</v>
      </c>
      <c r="K235" t="s">
        <v>1377</v>
      </c>
      <c r="L235" t="s">
        <v>1381</v>
      </c>
    </row>
    <row r="236" spans="1:12" x14ac:dyDescent="0.25">
      <c r="A236" s="3">
        <v>45295</v>
      </c>
      <c r="B236" t="s">
        <v>197</v>
      </c>
      <c r="C236" t="s">
        <v>1126</v>
      </c>
      <c r="D236" t="s">
        <v>1344</v>
      </c>
      <c r="E236" t="s">
        <v>1346</v>
      </c>
      <c r="F236" t="s">
        <v>1355</v>
      </c>
      <c r="G236" t="s">
        <v>1360</v>
      </c>
      <c r="H236" s="5">
        <v>12</v>
      </c>
      <c r="I236" s="9">
        <v>199</v>
      </c>
      <c r="J236" s="9">
        <f t="shared" si="3"/>
        <v>2388</v>
      </c>
      <c r="K236" t="s">
        <v>1378</v>
      </c>
      <c r="L236" t="s">
        <v>1381</v>
      </c>
    </row>
    <row r="237" spans="1:12" x14ac:dyDescent="0.25">
      <c r="A237" s="3">
        <v>45307</v>
      </c>
      <c r="B237" t="s">
        <v>46</v>
      </c>
      <c r="C237" t="s">
        <v>1056</v>
      </c>
      <c r="D237" t="s">
        <v>1389</v>
      </c>
      <c r="E237" t="s">
        <v>1347</v>
      </c>
      <c r="F237" t="s">
        <v>1351</v>
      </c>
      <c r="G237" t="s">
        <v>1357</v>
      </c>
      <c r="H237" s="5">
        <v>25</v>
      </c>
      <c r="I237" s="9">
        <v>1878</v>
      </c>
      <c r="J237" s="9">
        <f t="shared" si="3"/>
        <v>46950</v>
      </c>
      <c r="K237" t="s">
        <v>1377</v>
      </c>
      <c r="L237" t="s">
        <v>1382</v>
      </c>
    </row>
    <row r="238" spans="1:12" x14ac:dyDescent="0.25">
      <c r="A238" s="3">
        <v>45581</v>
      </c>
      <c r="B238" t="s">
        <v>198</v>
      </c>
      <c r="C238" t="s">
        <v>1133</v>
      </c>
      <c r="D238" t="s">
        <v>1345</v>
      </c>
      <c r="E238" t="s">
        <v>1347</v>
      </c>
      <c r="F238" t="s">
        <v>1352</v>
      </c>
      <c r="G238" t="s">
        <v>1364</v>
      </c>
      <c r="H238" s="5">
        <v>14</v>
      </c>
      <c r="I238" s="9">
        <v>199</v>
      </c>
      <c r="J238" s="9">
        <f t="shared" si="3"/>
        <v>2786</v>
      </c>
      <c r="K238" t="s">
        <v>1377</v>
      </c>
      <c r="L238" t="s">
        <v>1384</v>
      </c>
    </row>
    <row r="239" spans="1:12" x14ac:dyDescent="0.25">
      <c r="A239" s="3">
        <v>45343</v>
      </c>
      <c r="B239" t="s">
        <v>935</v>
      </c>
      <c r="C239" t="s">
        <v>1083</v>
      </c>
      <c r="D239" t="s">
        <v>1345</v>
      </c>
      <c r="E239" t="s">
        <v>1347</v>
      </c>
      <c r="F239" t="s">
        <v>1353</v>
      </c>
      <c r="G239" t="s">
        <v>1365</v>
      </c>
      <c r="H239" s="5">
        <v>34</v>
      </c>
      <c r="I239" s="9">
        <v>499</v>
      </c>
      <c r="J239" s="9">
        <f t="shared" si="3"/>
        <v>16966</v>
      </c>
      <c r="K239" t="s">
        <v>1379</v>
      </c>
      <c r="L239" t="s">
        <v>1381</v>
      </c>
    </row>
    <row r="240" spans="1:12" x14ac:dyDescent="0.25">
      <c r="A240" s="3">
        <v>45438</v>
      </c>
      <c r="B240" t="s">
        <v>989</v>
      </c>
      <c r="C240" t="s">
        <v>1173</v>
      </c>
      <c r="D240" t="s">
        <v>1344</v>
      </c>
      <c r="E240" t="s">
        <v>1349</v>
      </c>
      <c r="F240" t="s">
        <v>1353</v>
      </c>
      <c r="G240" t="s">
        <v>1365</v>
      </c>
      <c r="H240" s="5">
        <v>44</v>
      </c>
      <c r="I240" s="9">
        <v>2999</v>
      </c>
      <c r="J240" s="9">
        <f t="shared" si="3"/>
        <v>131956</v>
      </c>
      <c r="K240" t="s">
        <v>1379</v>
      </c>
      <c r="L240" t="s">
        <v>1380</v>
      </c>
    </row>
    <row r="241" spans="1:12" x14ac:dyDescent="0.25">
      <c r="A241" s="3">
        <v>45389</v>
      </c>
      <c r="B241" t="s">
        <v>222</v>
      </c>
      <c r="C241" t="s">
        <v>1086</v>
      </c>
      <c r="D241" t="s">
        <v>1345</v>
      </c>
      <c r="E241" t="s">
        <v>1347</v>
      </c>
      <c r="F241" t="s">
        <v>1352</v>
      </c>
      <c r="G241" t="s">
        <v>1368</v>
      </c>
      <c r="H241" s="5">
        <v>45</v>
      </c>
      <c r="I241" s="9">
        <v>2999</v>
      </c>
      <c r="J241" s="9">
        <f t="shared" si="3"/>
        <v>134955</v>
      </c>
      <c r="K241" t="s">
        <v>1379</v>
      </c>
      <c r="L241" t="s">
        <v>1384</v>
      </c>
    </row>
    <row r="242" spans="1:12" x14ac:dyDescent="0.25">
      <c r="A242" s="3">
        <v>45293</v>
      </c>
      <c r="B242" t="s">
        <v>997</v>
      </c>
      <c r="C242" t="s">
        <v>1055</v>
      </c>
      <c r="D242" t="s">
        <v>1345</v>
      </c>
      <c r="E242" t="s">
        <v>1346</v>
      </c>
      <c r="F242" t="s">
        <v>1352</v>
      </c>
      <c r="G242" t="s">
        <v>1358</v>
      </c>
      <c r="H242" s="5">
        <v>3</v>
      </c>
      <c r="I242" s="9">
        <v>499</v>
      </c>
      <c r="J242" s="9">
        <f t="shared" si="3"/>
        <v>1497</v>
      </c>
      <c r="K242" t="s">
        <v>1379</v>
      </c>
      <c r="L242" t="s">
        <v>1384</v>
      </c>
    </row>
    <row r="243" spans="1:12" x14ac:dyDescent="0.25">
      <c r="A243" s="3">
        <v>45617</v>
      </c>
      <c r="B243" t="s">
        <v>700</v>
      </c>
      <c r="C243" t="s">
        <v>1169</v>
      </c>
      <c r="D243" t="s">
        <v>1389</v>
      </c>
      <c r="E243" t="s">
        <v>1349</v>
      </c>
      <c r="F243" t="s">
        <v>1353</v>
      </c>
      <c r="G243" t="s">
        <v>1365</v>
      </c>
      <c r="H243" s="5">
        <v>18</v>
      </c>
      <c r="I243" s="9">
        <v>1999</v>
      </c>
      <c r="J243" s="9">
        <f t="shared" si="3"/>
        <v>35982</v>
      </c>
      <c r="K243" t="s">
        <v>1377</v>
      </c>
      <c r="L243" t="s">
        <v>1380</v>
      </c>
    </row>
    <row r="244" spans="1:12" x14ac:dyDescent="0.25">
      <c r="A244" s="3">
        <v>45494</v>
      </c>
      <c r="B244" t="s">
        <v>1007</v>
      </c>
      <c r="C244" t="s">
        <v>1177</v>
      </c>
      <c r="D244" t="s">
        <v>1389</v>
      </c>
      <c r="E244" t="s">
        <v>1347</v>
      </c>
      <c r="F244" t="s">
        <v>1351</v>
      </c>
      <c r="G244" t="s">
        <v>1370</v>
      </c>
      <c r="H244" s="5">
        <v>15</v>
      </c>
      <c r="I244" s="9">
        <v>199</v>
      </c>
      <c r="J244" s="9">
        <f t="shared" si="3"/>
        <v>2985</v>
      </c>
      <c r="K244" t="s">
        <v>1378</v>
      </c>
      <c r="L244" t="s">
        <v>1382</v>
      </c>
    </row>
    <row r="245" spans="1:12" x14ac:dyDescent="0.25">
      <c r="A245" s="3">
        <v>45517</v>
      </c>
      <c r="B245" t="s">
        <v>854</v>
      </c>
      <c r="C245" t="s">
        <v>1237</v>
      </c>
      <c r="D245" t="s">
        <v>1345</v>
      </c>
      <c r="E245" t="s">
        <v>1349</v>
      </c>
      <c r="F245" t="s">
        <v>1353</v>
      </c>
      <c r="G245" t="s">
        <v>1365</v>
      </c>
      <c r="H245" s="5">
        <v>10</v>
      </c>
      <c r="I245" s="9">
        <v>2999</v>
      </c>
      <c r="J245" s="9">
        <f t="shared" si="3"/>
        <v>29990</v>
      </c>
      <c r="K245" t="s">
        <v>1379</v>
      </c>
      <c r="L245" t="s">
        <v>1384</v>
      </c>
    </row>
    <row r="246" spans="1:12" x14ac:dyDescent="0.25">
      <c r="A246" s="3">
        <v>45617</v>
      </c>
      <c r="B246" t="s">
        <v>284</v>
      </c>
      <c r="C246" t="s">
        <v>1044</v>
      </c>
      <c r="D246" t="s">
        <v>1344</v>
      </c>
      <c r="E246" t="s">
        <v>1348</v>
      </c>
      <c r="F246" t="s">
        <v>1351</v>
      </c>
      <c r="G246" t="s">
        <v>1357</v>
      </c>
      <c r="H246" s="5">
        <v>27</v>
      </c>
      <c r="I246" s="9">
        <v>1999</v>
      </c>
      <c r="J246" s="9">
        <f t="shared" si="3"/>
        <v>53973</v>
      </c>
      <c r="K246" t="s">
        <v>1379</v>
      </c>
      <c r="L246" t="s">
        <v>1382</v>
      </c>
    </row>
    <row r="247" spans="1:12" x14ac:dyDescent="0.25">
      <c r="A247" s="3">
        <v>45593</v>
      </c>
      <c r="B247" t="s">
        <v>852</v>
      </c>
      <c r="C247" t="s">
        <v>1216</v>
      </c>
      <c r="D247" t="s">
        <v>1344</v>
      </c>
      <c r="E247" t="s">
        <v>1349</v>
      </c>
      <c r="F247" t="s">
        <v>1354</v>
      </c>
      <c r="G247" t="s">
        <v>1363</v>
      </c>
      <c r="H247" s="5">
        <v>9</v>
      </c>
      <c r="I247" s="9">
        <v>999</v>
      </c>
      <c r="J247" s="9">
        <f t="shared" si="3"/>
        <v>8991</v>
      </c>
      <c r="K247" t="s">
        <v>1379</v>
      </c>
      <c r="L247" t="s">
        <v>1382</v>
      </c>
    </row>
    <row r="248" spans="1:12" x14ac:dyDescent="0.25">
      <c r="A248" s="3">
        <v>45438</v>
      </c>
      <c r="B248" t="s">
        <v>878</v>
      </c>
      <c r="C248" t="s">
        <v>1305</v>
      </c>
      <c r="D248" t="s">
        <v>1345</v>
      </c>
      <c r="E248" t="s">
        <v>1349</v>
      </c>
      <c r="F248" t="s">
        <v>1354</v>
      </c>
      <c r="G248" t="s">
        <v>1366</v>
      </c>
      <c r="H248" s="5">
        <v>6</v>
      </c>
      <c r="I248" s="9">
        <v>1499</v>
      </c>
      <c r="J248" s="9">
        <f t="shared" si="3"/>
        <v>8994</v>
      </c>
      <c r="K248" t="s">
        <v>1377</v>
      </c>
      <c r="L248" t="s">
        <v>1383</v>
      </c>
    </row>
    <row r="249" spans="1:12" x14ac:dyDescent="0.25">
      <c r="A249" s="3">
        <v>45514</v>
      </c>
      <c r="B249" t="s">
        <v>64</v>
      </c>
      <c r="C249" t="s">
        <v>1070</v>
      </c>
      <c r="D249" t="s">
        <v>1345</v>
      </c>
      <c r="E249" t="s">
        <v>1349</v>
      </c>
      <c r="F249" t="s">
        <v>1351</v>
      </c>
      <c r="G249" t="s">
        <v>1357</v>
      </c>
      <c r="H249" s="5">
        <v>31</v>
      </c>
      <c r="I249" s="9">
        <v>199</v>
      </c>
      <c r="J249" s="9">
        <f t="shared" si="3"/>
        <v>6169</v>
      </c>
      <c r="K249" t="s">
        <v>1379</v>
      </c>
      <c r="L249" t="s">
        <v>1383</v>
      </c>
    </row>
    <row r="250" spans="1:12" x14ac:dyDescent="0.25">
      <c r="A250" s="3">
        <v>45532</v>
      </c>
      <c r="B250" t="s">
        <v>574</v>
      </c>
      <c r="C250" t="s">
        <v>1086</v>
      </c>
      <c r="D250" t="s">
        <v>1345</v>
      </c>
      <c r="E250" t="s">
        <v>1347</v>
      </c>
      <c r="F250" t="s">
        <v>1354</v>
      </c>
      <c r="G250" t="s">
        <v>1361</v>
      </c>
      <c r="H250" s="5">
        <v>12</v>
      </c>
      <c r="I250" s="9">
        <v>2999</v>
      </c>
      <c r="J250" s="9">
        <f t="shared" si="3"/>
        <v>35988</v>
      </c>
      <c r="K250" t="s">
        <v>1379</v>
      </c>
      <c r="L250" t="s">
        <v>1384</v>
      </c>
    </row>
    <row r="251" spans="1:12" x14ac:dyDescent="0.25">
      <c r="A251" s="3">
        <v>45598</v>
      </c>
      <c r="B251" t="s">
        <v>43</v>
      </c>
      <c r="C251" t="s">
        <v>1053</v>
      </c>
      <c r="D251" t="s">
        <v>1389</v>
      </c>
      <c r="E251" t="s">
        <v>1349</v>
      </c>
      <c r="F251" t="s">
        <v>1351</v>
      </c>
      <c r="G251" t="s">
        <v>1370</v>
      </c>
      <c r="H251" s="5">
        <v>36</v>
      </c>
      <c r="I251" s="9">
        <v>3499</v>
      </c>
      <c r="J251" s="9">
        <f t="shared" si="3"/>
        <v>125964</v>
      </c>
      <c r="K251" t="s">
        <v>1379</v>
      </c>
      <c r="L251" t="s">
        <v>1382</v>
      </c>
    </row>
    <row r="252" spans="1:12" x14ac:dyDescent="0.25">
      <c r="A252" s="3">
        <v>45343</v>
      </c>
      <c r="B252" t="s">
        <v>18</v>
      </c>
      <c r="C252" t="s">
        <v>1030</v>
      </c>
      <c r="D252" t="s">
        <v>1344</v>
      </c>
      <c r="E252" t="s">
        <v>1347</v>
      </c>
      <c r="F252" t="s">
        <v>1355</v>
      </c>
      <c r="G252" t="s">
        <v>1360</v>
      </c>
      <c r="H252" s="5">
        <v>28</v>
      </c>
      <c r="I252" s="9">
        <v>199</v>
      </c>
      <c r="J252" s="9">
        <f t="shared" si="3"/>
        <v>5572</v>
      </c>
      <c r="K252" t="s">
        <v>1379</v>
      </c>
      <c r="L252" t="s">
        <v>1383</v>
      </c>
    </row>
    <row r="253" spans="1:12" x14ac:dyDescent="0.25">
      <c r="A253" s="3">
        <v>45527</v>
      </c>
      <c r="B253" t="s">
        <v>670</v>
      </c>
      <c r="C253" t="s">
        <v>1185</v>
      </c>
      <c r="D253" t="s">
        <v>1389</v>
      </c>
      <c r="E253" t="s">
        <v>1349</v>
      </c>
      <c r="F253" t="s">
        <v>1351</v>
      </c>
      <c r="G253" t="s">
        <v>1357</v>
      </c>
      <c r="H253" s="5">
        <v>48</v>
      </c>
      <c r="I253" s="9">
        <v>1999</v>
      </c>
      <c r="J253" s="9">
        <f t="shared" si="3"/>
        <v>95952</v>
      </c>
      <c r="K253" t="s">
        <v>1377</v>
      </c>
      <c r="L253" t="s">
        <v>1380</v>
      </c>
    </row>
    <row r="254" spans="1:12" x14ac:dyDescent="0.25">
      <c r="A254" s="3">
        <v>45606</v>
      </c>
      <c r="B254" t="s">
        <v>342</v>
      </c>
      <c r="C254" t="s">
        <v>1025</v>
      </c>
      <c r="D254" t="s">
        <v>1345</v>
      </c>
      <c r="E254" t="s">
        <v>1347</v>
      </c>
      <c r="F254" t="s">
        <v>1353</v>
      </c>
      <c r="G254" t="s">
        <v>1367</v>
      </c>
      <c r="H254" s="5">
        <v>28</v>
      </c>
      <c r="I254" s="9">
        <v>499</v>
      </c>
      <c r="J254" s="9">
        <f t="shared" si="3"/>
        <v>13972</v>
      </c>
      <c r="K254" t="s">
        <v>1379</v>
      </c>
      <c r="L254" t="s">
        <v>1384</v>
      </c>
    </row>
    <row r="255" spans="1:12" x14ac:dyDescent="0.25">
      <c r="A255" s="3">
        <v>45575</v>
      </c>
      <c r="B255" t="s">
        <v>301</v>
      </c>
      <c r="C255" t="s">
        <v>1099</v>
      </c>
      <c r="D255" t="s">
        <v>1389</v>
      </c>
      <c r="E255" t="s">
        <v>1349</v>
      </c>
      <c r="F255" t="s">
        <v>1351</v>
      </c>
      <c r="G255" t="s">
        <v>1370</v>
      </c>
      <c r="H255" s="5">
        <v>10</v>
      </c>
      <c r="I255" s="9">
        <v>1999</v>
      </c>
      <c r="J255" s="9">
        <f t="shared" si="3"/>
        <v>19990</v>
      </c>
      <c r="K255" t="s">
        <v>1379</v>
      </c>
      <c r="L255" t="s">
        <v>1384</v>
      </c>
    </row>
    <row r="256" spans="1:12" x14ac:dyDescent="0.25">
      <c r="A256" s="3">
        <v>45654</v>
      </c>
      <c r="B256" t="s">
        <v>761</v>
      </c>
      <c r="C256" t="s">
        <v>1296</v>
      </c>
      <c r="D256" t="s">
        <v>1389</v>
      </c>
      <c r="E256" t="s">
        <v>1348</v>
      </c>
      <c r="F256" t="s">
        <v>1351</v>
      </c>
      <c r="G256" t="s">
        <v>1357</v>
      </c>
      <c r="H256" s="5">
        <v>40</v>
      </c>
      <c r="I256" s="9">
        <v>2499</v>
      </c>
      <c r="J256" s="9">
        <f t="shared" si="3"/>
        <v>99960</v>
      </c>
      <c r="K256" t="s">
        <v>1377</v>
      </c>
      <c r="L256" t="s">
        <v>1384</v>
      </c>
    </row>
    <row r="257" spans="1:12" x14ac:dyDescent="0.25">
      <c r="A257" s="3">
        <v>45471</v>
      </c>
      <c r="B257" t="s">
        <v>588</v>
      </c>
      <c r="C257" t="s">
        <v>1174</v>
      </c>
      <c r="D257" t="s">
        <v>1344</v>
      </c>
      <c r="E257" t="s">
        <v>1349</v>
      </c>
      <c r="F257" t="s">
        <v>1354</v>
      </c>
      <c r="G257" t="s">
        <v>1366</v>
      </c>
      <c r="H257" s="5">
        <v>3</v>
      </c>
      <c r="I257" s="9">
        <v>2999</v>
      </c>
      <c r="J257" s="9">
        <f t="shared" si="3"/>
        <v>8997</v>
      </c>
      <c r="K257" t="s">
        <v>1379</v>
      </c>
      <c r="L257" t="s">
        <v>1380</v>
      </c>
    </row>
    <row r="258" spans="1:12" x14ac:dyDescent="0.25">
      <c r="A258" s="3">
        <v>45429</v>
      </c>
      <c r="B258" t="s">
        <v>132</v>
      </c>
      <c r="C258" t="s">
        <v>1080</v>
      </c>
      <c r="D258" t="s">
        <v>1389</v>
      </c>
      <c r="E258" t="s">
        <v>1350</v>
      </c>
      <c r="F258" t="s">
        <v>1354</v>
      </c>
      <c r="G258" t="s">
        <v>1366</v>
      </c>
      <c r="H258" s="5">
        <v>0</v>
      </c>
      <c r="I258" s="9">
        <v>1999</v>
      </c>
      <c r="J258" s="9">
        <f t="shared" ref="J258:J321" si="4">H258*I258</f>
        <v>0</v>
      </c>
      <c r="K258" t="s">
        <v>1379</v>
      </c>
      <c r="L258" t="s">
        <v>1382</v>
      </c>
    </row>
    <row r="259" spans="1:12" x14ac:dyDescent="0.25">
      <c r="A259" s="3">
        <v>45652</v>
      </c>
      <c r="B259" t="s">
        <v>452</v>
      </c>
      <c r="C259" t="s">
        <v>1208</v>
      </c>
      <c r="D259" t="s">
        <v>1344</v>
      </c>
      <c r="E259" t="s">
        <v>1349</v>
      </c>
      <c r="F259" t="s">
        <v>1351</v>
      </c>
      <c r="G259" t="s">
        <v>1371</v>
      </c>
      <c r="H259" s="5">
        <v>13</v>
      </c>
      <c r="I259" s="9">
        <v>1999</v>
      </c>
      <c r="J259" s="9">
        <f t="shared" si="4"/>
        <v>25987</v>
      </c>
      <c r="K259" t="s">
        <v>1379</v>
      </c>
      <c r="L259" t="s">
        <v>1384</v>
      </c>
    </row>
    <row r="260" spans="1:12" x14ac:dyDescent="0.25">
      <c r="A260" s="3">
        <v>45545</v>
      </c>
      <c r="B260" t="s">
        <v>919</v>
      </c>
      <c r="C260" t="s">
        <v>1027</v>
      </c>
      <c r="D260" t="s">
        <v>1345</v>
      </c>
      <c r="E260" t="s">
        <v>1350</v>
      </c>
      <c r="F260" t="s">
        <v>1353</v>
      </c>
      <c r="G260" t="s">
        <v>1359</v>
      </c>
      <c r="H260" s="5">
        <v>10</v>
      </c>
      <c r="I260" s="9">
        <v>2499</v>
      </c>
      <c r="J260" s="9">
        <f t="shared" si="4"/>
        <v>24990</v>
      </c>
      <c r="K260" t="s">
        <v>1376</v>
      </c>
      <c r="L260" t="s">
        <v>1382</v>
      </c>
    </row>
    <row r="261" spans="1:12" x14ac:dyDescent="0.25">
      <c r="A261" s="3">
        <v>45332</v>
      </c>
      <c r="B261" t="s">
        <v>304</v>
      </c>
      <c r="C261" t="s">
        <v>1054</v>
      </c>
      <c r="D261" t="s">
        <v>1344</v>
      </c>
      <c r="E261" t="s">
        <v>1350</v>
      </c>
      <c r="F261" t="s">
        <v>1354</v>
      </c>
      <c r="G261" t="s">
        <v>1362</v>
      </c>
      <c r="H261" s="5">
        <v>43</v>
      </c>
      <c r="I261" s="9">
        <v>1999</v>
      </c>
      <c r="J261" s="9">
        <f t="shared" si="4"/>
        <v>85957</v>
      </c>
      <c r="K261" t="s">
        <v>1379</v>
      </c>
      <c r="L261" t="s">
        <v>1381</v>
      </c>
    </row>
    <row r="262" spans="1:12" x14ac:dyDescent="0.25">
      <c r="A262" s="3">
        <v>45654</v>
      </c>
      <c r="B262" t="s">
        <v>972</v>
      </c>
      <c r="C262" t="s">
        <v>1111</v>
      </c>
      <c r="D262" t="s">
        <v>1389</v>
      </c>
      <c r="E262" t="s">
        <v>1350</v>
      </c>
      <c r="F262" t="s">
        <v>1355</v>
      </c>
      <c r="G262" t="s">
        <v>1372</v>
      </c>
      <c r="H262" s="5">
        <v>1</v>
      </c>
      <c r="I262" s="9">
        <v>3499</v>
      </c>
      <c r="J262" s="9">
        <f t="shared" si="4"/>
        <v>3499</v>
      </c>
      <c r="K262" t="s">
        <v>1378</v>
      </c>
      <c r="L262" t="s">
        <v>1381</v>
      </c>
    </row>
    <row r="263" spans="1:12" x14ac:dyDescent="0.25">
      <c r="A263" s="3">
        <v>45409</v>
      </c>
      <c r="B263" t="s">
        <v>380</v>
      </c>
      <c r="C263" t="s">
        <v>1171</v>
      </c>
      <c r="D263" t="s">
        <v>1389</v>
      </c>
      <c r="E263" t="s">
        <v>1348</v>
      </c>
      <c r="F263" t="s">
        <v>1351</v>
      </c>
      <c r="G263" t="s">
        <v>1357</v>
      </c>
      <c r="H263" s="5">
        <v>14</v>
      </c>
      <c r="I263" s="9">
        <v>2999</v>
      </c>
      <c r="J263" s="9">
        <f t="shared" si="4"/>
        <v>41986</v>
      </c>
      <c r="K263" t="s">
        <v>1379</v>
      </c>
      <c r="L263" t="s">
        <v>1383</v>
      </c>
    </row>
    <row r="264" spans="1:12" x14ac:dyDescent="0.25">
      <c r="A264" s="3">
        <v>45422</v>
      </c>
      <c r="B264" t="s">
        <v>209</v>
      </c>
      <c r="C264" t="s">
        <v>1164</v>
      </c>
      <c r="D264" t="s">
        <v>1389</v>
      </c>
      <c r="E264" t="s">
        <v>1347</v>
      </c>
      <c r="F264" t="s">
        <v>1355</v>
      </c>
      <c r="G264" t="s">
        <v>1360</v>
      </c>
      <c r="H264" s="5">
        <v>19</v>
      </c>
      <c r="I264" s="9">
        <v>1838</v>
      </c>
      <c r="J264" s="9">
        <f t="shared" si="4"/>
        <v>34922</v>
      </c>
      <c r="K264" t="s">
        <v>1377</v>
      </c>
      <c r="L264" t="s">
        <v>1380</v>
      </c>
    </row>
    <row r="265" spans="1:12" x14ac:dyDescent="0.25">
      <c r="A265" s="3">
        <v>45531</v>
      </c>
      <c r="B265" t="s">
        <v>12</v>
      </c>
      <c r="C265" t="s">
        <v>1024</v>
      </c>
      <c r="D265" t="s">
        <v>1389</v>
      </c>
      <c r="E265" t="s">
        <v>1349</v>
      </c>
      <c r="F265" t="s">
        <v>1351</v>
      </c>
      <c r="G265" t="s">
        <v>1356</v>
      </c>
      <c r="H265" s="5">
        <v>17</v>
      </c>
      <c r="I265" s="9">
        <v>1499</v>
      </c>
      <c r="J265" s="9">
        <f t="shared" si="4"/>
        <v>25483</v>
      </c>
      <c r="K265" t="s">
        <v>1379</v>
      </c>
      <c r="L265" t="s">
        <v>1380</v>
      </c>
    </row>
    <row r="266" spans="1:12" x14ac:dyDescent="0.25">
      <c r="A266" s="3">
        <v>45409</v>
      </c>
      <c r="B266" t="s">
        <v>122</v>
      </c>
      <c r="C266" t="s">
        <v>1114</v>
      </c>
      <c r="D266" t="s">
        <v>1345</v>
      </c>
      <c r="E266" t="s">
        <v>1346</v>
      </c>
      <c r="F266" t="s">
        <v>1352</v>
      </c>
      <c r="G266" t="s">
        <v>1364</v>
      </c>
      <c r="H266" s="5">
        <v>8</v>
      </c>
      <c r="I266" s="9">
        <v>999</v>
      </c>
      <c r="J266" s="9">
        <f t="shared" si="4"/>
        <v>7992</v>
      </c>
      <c r="K266" t="s">
        <v>1378</v>
      </c>
      <c r="L266" t="s">
        <v>1383</v>
      </c>
    </row>
    <row r="267" spans="1:12" x14ac:dyDescent="0.25">
      <c r="A267" s="3">
        <v>45494</v>
      </c>
      <c r="B267" t="s">
        <v>801</v>
      </c>
      <c r="C267" t="s">
        <v>1197</v>
      </c>
      <c r="D267" t="s">
        <v>1345</v>
      </c>
      <c r="E267" t="s">
        <v>1350</v>
      </c>
      <c r="F267" t="s">
        <v>1351</v>
      </c>
      <c r="G267" t="s">
        <v>1357</v>
      </c>
      <c r="H267" s="5">
        <v>5</v>
      </c>
      <c r="I267" s="9">
        <v>1999</v>
      </c>
      <c r="J267" s="9">
        <f t="shared" si="4"/>
        <v>9995</v>
      </c>
      <c r="K267" t="s">
        <v>1379</v>
      </c>
      <c r="L267" t="s">
        <v>1382</v>
      </c>
    </row>
    <row r="268" spans="1:12" x14ac:dyDescent="0.25">
      <c r="A268" s="3">
        <v>45360</v>
      </c>
      <c r="B268" t="s">
        <v>681</v>
      </c>
      <c r="C268" t="s">
        <v>1092</v>
      </c>
      <c r="D268" t="s">
        <v>1345</v>
      </c>
      <c r="E268" t="s">
        <v>1347</v>
      </c>
      <c r="F268" t="s">
        <v>1355</v>
      </c>
      <c r="G268" t="s">
        <v>1360</v>
      </c>
      <c r="H268" s="5">
        <v>2</v>
      </c>
      <c r="I268" s="9">
        <v>3499</v>
      </c>
      <c r="J268" s="9">
        <f t="shared" si="4"/>
        <v>6998</v>
      </c>
      <c r="K268" t="s">
        <v>1378</v>
      </c>
      <c r="L268" t="s">
        <v>1384</v>
      </c>
    </row>
    <row r="269" spans="1:12" x14ac:dyDescent="0.25">
      <c r="A269" s="3">
        <v>45473</v>
      </c>
      <c r="B269" t="s">
        <v>559</v>
      </c>
      <c r="C269" t="s">
        <v>1047</v>
      </c>
      <c r="D269" t="s">
        <v>1345</v>
      </c>
      <c r="E269" t="s">
        <v>1346</v>
      </c>
      <c r="F269" t="s">
        <v>1355</v>
      </c>
      <c r="G269" t="s">
        <v>1360</v>
      </c>
      <c r="H269" s="5">
        <v>36</v>
      </c>
      <c r="I269" s="9">
        <v>199</v>
      </c>
      <c r="J269" s="9">
        <f t="shared" si="4"/>
        <v>7164</v>
      </c>
      <c r="K269" t="s">
        <v>1377</v>
      </c>
      <c r="L269" t="s">
        <v>1382</v>
      </c>
    </row>
    <row r="270" spans="1:12" x14ac:dyDescent="0.25">
      <c r="A270" s="3">
        <v>45613</v>
      </c>
      <c r="B270" t="s">
        <v>722</v>
      </c>
      <c r="C270" t="s">
        <v>1243</v>
      </c>
      <c r="D270" t="s">
        <v>1345</v>
      </c>
      <c r="E270" t="s">
        <v>1347</v>
      </c>
      <c r="F270" t="s">
        <v>1351</v>
      </c>
      <c r="G270" t="s">
        <v>1356</v>
      </c>
      <c r="H270" s="5">
        <v>22</v>
      </c>
      <c r="I270" s="9">
        <v>1499</v>
      </c>
      <c r="J270" s="9">
        <f t="shared" si="4"/>
        <v>32978</v>
      </c>
      <c r="K270" t="s">
        <v>1379</v>
      </c>
      <c r="L270" t="s">
        <v>1383</v>
      </c>
    </row>
    <row r="271" spans="1:12" x14ac:dyDescent="0.25">
      <c r="A271" s="3">
        <v>45366</v>
      </c>
      <c r="B271" t="s">
        <v>955</v>
      </c>
      <c r="C271" t="s">
        <v>1035</v>
      </c>
      <c r="D271" t="s">
        <v>1344</v>
      </c>
      <c r="E271" t="s">
        <v>1347</v>
      </c>
      <c r="F271" t="s">
        <v>1354</v>
      </c>
      <c r="G271" t="s">
        <v>1362</v>
      </c>
      <c r="H271" s="5">
        <v>3</v>
      </c>
      <c r="I271" s="9">
        <v>2499</v>
      </c>
      <c r="J271" s="9">
        <f t="shared" si="4"/>
        <v>7497</v>
      </c>
      <c r="K271" t="s">
        <v>1379</v>
      </c>
      <c r="L271" t="s">
        <v>1384</v>
      </c>
    </row>
    <row r="272" spans="1:12" x14ac:dyDescent="0.25">
      <c r="A272" s="3">
        <v>45443</v>
      </c>
      <c r="B272" t="s">
        <v>375</v>
      </c>
      <c r="C272" t="s">
        <v>1241</v>
      </c>
      <c r="D272" t="s">
        <v>1389</v>
      </c>
      <c r="E272" t="s">
        <v>1349</v>
      </c>
      <c r="F272" t="s">
        <v>1353</v>
      </c>
      <c r="G272" t="s">
        <v>1367</v>
      </c>
      <c r="H272" s="5">
        <v>41</v>
      </c>
      <c r="I272" s="9">
        <v>3499</v>
      </c>
      <c r="J272" s="9">
        <f t="shared" si="4"/>
        <v>143459</v>
      </c>
      <c r="K272" t="s">
        <v>1379</v>
      </c>
      <c r="L272" t="s">
        <v>1382</v>
      </c>
    </row>
    <row r="273" spans="1:12" x14ac:dyDescent="0.25">
      <c r="A273" s="3">
        <v>45295</v>
      </c>
      <c r="B273" t="s">
        <v>303</v>
      </c>
      <c r="C273" t="s">
        <v>1120</v>
      </c>
      <c r="D273" t="s">
        <v>1344</v>
      </c>
      <c r="E273" t="s">
        <v>1350</v>
      </c>
      <c r="F273" t="s">
        <v>1353</v>
      </c>
      <c r="G273" t="s">
        <v>1365</v>
      </c>
      <c r="H273" s="5">
        <v>37</v>
      </c>
      <c r="I273" s="9">
        <v>999</v>
      </c>
      <c r="J273" s="9">
        <f t="shared" si="4"/>
        <v>36963</v>
      </c>
      <c r="K273" t="s">
        <v>1379</v>
      </c>
      <c r="L273" t="s">
        <v>1384</v>
      </c>
    </row>
    <row r="274" spans="1:12" x14ac:dyDescent="0.25">
      <c r="A274" s="3">
        <v>45533</v>
      </c>
      <c r="B274" t="s">
        <v>386</v>
      </c>
      <c r="C274" t="s">
        <v>1027</v>
      </c>
      <c r="D274" t="s">
        <v>1344</v>
      </c>
      <c r="E274" t="s">
        <v>1350</v>
      </c>
      <c r="F274" t="s">
        <v>1355</v>
      </c>
      <c r="G274" t="s">
        <v>1360</v>
      </c>
      <c r="H274" s="5">
        <v>20</v>
      </c>
      <c r="I274" s="9">
        <v>1838</v>
      </c>
      <c r="J274" s="9">
        <f t="shared" si="4"/>
        <v>36760</v>
      </c>
      <c r="K274" t="s">
        <v>1379</v>
      </c>
      <c r="L274" t="s">
        <v>1382</v>
      </c>
    </row>
    <row r="275" spans="1:12" x14ac:dyDescent="0.25">
      <c r="A275" s="3">
        <v>45305</v>
      </c>
      <c r="B275" t="s">
        <v>773</v>
      </c>
      <c r="C275" t="s">
        <v>1088</v>
      </c>
      <c r="D275" t="s">
        <v>1345</v>
      </c>
      <c r="E275" t="s">
        <v>1350</v>
      </c>
      <c r="F275" t="s">
        <v>1352</v>
      </c>
      <c r="G275" t="s">
        <v>1358</v>
      </c>
      <c r="H275" s="5">
        <v>5</v>
      </c>
      <c r="I275" s="9">
        <v>1624</v>
      </c>
      <c r="J275" s="9">
        <f t="shared" si="4"/>
        <v>8120</v>
      </c>
      <c r="K275" t="s">
        <v>1378</v>
      </c>
      <c r="L275" t="s">
        <v>1381</v>
      </c>
    </row>
    <row r="276" spans="1:12" x14ac:dyDescent="0.25">
      <c r="A276" s="3">
        <v>45470</v>
      </c>
      <c r="B276" t="s">
        <v>988</v>
      </c>
      <c r="C276" t="s">
        <v>1303</v>
      </c>
      <c r="D276" t="s">
        <v>1389</v>
      </c>
      <c r="E276" t="s">
        <v>1348</v>
      </c>
      <c r="F276" t="s">
        <v>1352</v>
      </c>
      <c r="G276" t="s">
        <v>1368</v>
      </c>
      <c r="H276" s="5">
        <v>3</v>
      </c>
      <c r="I276" s="9">
        <v>499</v>
      </c>
      <c r="J276" s="9">
        <f t="shared" si="4"/>
        <v>1497</v>
      </c>
      <c r="K276" t="s">
        <v>1379</v>
      </c>
      <c r="L276" t="s">
        <v>1382</v>
      </c>
    </row>
    <row r="277" spans="1:12" x14ac:dyDescent="0.25">
      <c r="A277" s="3">
        <v>45314</v>
      </c>
      <c r="B277" t="s">
        <v>982</v>
      </c>
      <c r="C277" t="s">
        <v>1216</v>
      </c>
      <c r="D277" t="s">
        <v>1389</v>
      </c>
      <c r="E277" t="s">
        <v>1350</v>
      </c>
      <c r="F277" t="s">
        <v>1351</v>
      </c>
      <c r="G277" t="s">
        <v>1371</v>
      </c>
      <c r="H277" s="5">
        <v>13</v>
      </c>
      <c r="I277" s="9">
        <v>3499</v>
      </c>
      <c r="J277" s="9">
        <f t="shared" si="4"/>
        <v>45487</v>
      </c>
      <c r="K277" t="s">
        <v>1377</v>
      </c>
      <c r="L277" t="s">
        <v>1382</v>
      </c>
    </row>
    <row r="278" spans="1:12" x14ac:dyDescent="0.25">
      <c r="A278" s="3">
        <v>45468</v>
      </c>
      <c r="B278" t="s">
        <v>803</v>
      </c>
      <c r="C278" t="s">
        <v>1228</v>
      </c>
      <c r="D278" t="s">
        <v>1344</v>
      </c>
      <c r="E278" t="s">
        <v>1347</v>
      </c>
      <c r="F278" t="s">
        <v>1354</v>
      </c>
      <c r="G278" t="s">
        <v>1362</v>
      </c>
      <c r="H278" s="5">
        <v>27</v>
      </c>
      <c r="I278" s="9">
        <v>3499</v>
      </c>
      <c r="J278" s="9">
        <f t="shared" si="4"/>
        <v>94473</v>
      </c>
      <c r="K278" t="s">
        <v>1378</v>
      </c>
      <c r="L278" t="s">
        <v>1384</v>
      </c>
    </row>
    <row r="279" spans="1:12" x14ac:dyDescent="0.25">
      <c r="A279" s="3">
        <v>45462</v>
      </c>
      <c r="B279" t="s">
        <v>265</v>
      </c>
      <c r="C279" t="s">
        <v>1144</v>
      </c>
      <c r="D279" t="s">
        <v>1389</v>
      </c>
      <c r="E279" t="s">
        <v>1349</v>
      </c>
      <c r="F279" t="s">
        <v>1353</v>
      </c>
      <c r="G279" t="s">
        <v>1367</v>
      </c>
      <c r="H279" s="5">
        <v>22</v>
      </c>
      <c r="I279" s="9">
        <v>2999</v>
      </c>
      <c r="J279" s="9">
        <f t="shared" si="4"/>
        <v>65978</v>
      </c>
      <c r="K279" t="s">
        <v>1379</v>
      </c>
      <c r="L279" t="s">
        <v>1382</v>
      </c>
    </row>
    <row r="280" spans="1:12" x14ac:dyDescent="0.25">
      <c r="A280" s="3">
        <v>45403</v>
      </c>
      <c r="B280" t="s">
        <v>646</v>
      </c>
      <c r="C280" t="s">
        <v>1310</v>
      </c>
      <c r="D280" t="s">
        <v>1389</v>
      </c>
      <c r="E280" t="s">
        <v>1349</v>
      </c>
      <c r="F280" t="s">
        <v>1351</v>
      </c>
      <c r="G280" t="s">
        <v>1356</v>
      </c>
      <c r="H280" s="5">
        <v>22</v>
      </c>
      <c r="I280" s="9">
        <v>2999</v>
      </c>
      <c r="J280" s="9">
        <f t="shared" si="4"/>
        <v>65978</v>
      </c>
      <c r="K280" t="s">
        <v>1379</v>
      </c>
      <c r="L280" t="s">
        <v>1382</v>
      </c>
    </row>
    <row r="281" spans="1:12" x14ac:dyDescent="0.25">
      <c r="A281" s="3">
        <v>45558</v>
      </c>
      <c r="B281" t="s">
        <v>169</v>
      </c>
      <c r="C281" t="s">
        <v>1140</v>
      </c>
      <c r="D281" t="s">
        <v>1345</v>
      </c>
      <c r="E281" t="s">
        <v>1347</v>
      </c>
      <c r="F281" t="s">
        <v>1353</v>
      </c>
      <c r="G281" t="s">
        <v>1369</v>
      </c>
      <c r="H281" s="5">
        <v>32</v>
      </c>
      <c r="I281" s="9">
        <v>2499</v>
      </c>
      <c r="J281" s="9">
        <f t="shared" si="4"/>
        <v>79968</v>
      </c>
      <c r="K281" t="s">
        <v>1379</v>
      </c>
      <c r="L281" t="s">
        <v>1383</v>
      </c>
    </row>
    <row r="282" spans="1:12" x14ac:dyDescent="0.25">
      <c r="A282" s="3">
        <v>45342</v>
      </c>
      <c r="B282" t="s">
        <v>576</v>
      </c>
      <c r="C282" t="s">
        <v>1296</v>
      </c>
      <c r="D282" t="s">
        <v>1389</v>
      </c>
      <c r="E282" t="s">
        <v>1347</v>
      </c>
      <c r="F282" t="s">
        <v>1351</v>
      </c>
      <c r="G282" t="s">
        <v>1371</v>
      </c>
      <c r="H282" s="5">
        <v>44</v>
      </c>
      <c r="I282" s="9">
        <v>3499</v>
      </c>
      <c r="J282" s="9">
        <f t="shared" si="4"/>
        <v>153956</v>
      </c>
      <c r="K282" t="s">
        <v>1379</v>
      </c>
      <c r="L282" t="s">
        <v>1382</v>
      </c>
    </row>
    <row r="283" spans="1:12" x14ac:dyDescent="0.25">
      <c r="A283" s="3">
        <v>45558</v>
      </c>
      <c r="B283" t="s">
        <v>460</v>
      </c>
      <c r="C283" t="s">
        <v>1158</v>
      </c>
      <c r="D283" t="s">
        <v>1345</v>
      </c>
      <c r="E283" t="s">
        <v>1346</v>
      </c>
      <c r="F283" t="s">
        <v>1351</v>
      </c>
      <c r="G283" t="s">
        <v>1357</v>
      </c>
      <c r="H283" s="5">
        <v>4</v>
      </c>
      <c r="I283" s="9">
        <v>3499</v>
      </c>
      <c r="J283" s="9">
        <f t="shared" si="4"/>
        <v>13996</v>
      </c>
      <c r="K283" t="s">
        <v>1376</v>
      </c>
      <c r="L283" t="s">
        <v>1381</v>
      </c>
    </row>
    <row r="284" spans="1:12" x14ac:dyDescent="0.25">
      <c r="A284" s="3">
        <v>45498</v>
      </c>
      <c r="B284" t="s">
        <v>793</v>
      </c>
      <c r="C284" t="s">
        <v>1157</v>
      </c>
      <c r="D284" t="s">
        <v>1344</v>
      </c>
      <c r="E284" t="s">
        <v>1349</v>
      </c>
      <c r="F284" t="s">
        <v>1353</v>
      </c>
      <c r="G284" t="s">
        <v>1359</v>
      </c>
      <c r="H284" s="5">
        <v>36</v>
      </c>
      <c r="I284" s="9">
        <v>2999</v>
      </c>
      <c r="J284" s="9">
        <f t="shared" si="4"/>
        <v>107964</v>
      </c>
      <c r="K284" t="s">
        <v>1376</v>
      </c>
      <c r="L284" t="s">
        <v>1382</v>
      </c>
    </row>
    <row r="285" spans="1:12" x14ac:dyDescent="0.25">
      <c r="A285" s="3">
        <v>45481</v>
      </c>
      <c r="B285" t="s">
        <v>1015</v>
      </c>
      <c r="C285" t="s">
        <v>1039</v>
      </c>
      <c r="D285" t="s">
        <v>1345</v>
      </c>
      <c r="E285" t="s">
        <v>1346</v>
      </c>
      <c r="F285" t="s">
        <v>1352</v>
      </c>
      <c r="G285" t="s">
        <v>1368</v>
      </c>
      <c r="H285" s="5">
        <v>43</v>
      </c>
      <c r="I285" s="9">
        <v>999</v>
      </c>
      <c r="J285" s="9">
        <f t="shared" si="4"/>
        <v>42957</v>
      </c>
      <c r="K285" t="s">
        <v>1377</v>
      </c>
      <c r="L285" t="s">
        <v>1382</v>
      </c>
    </row>
    <row r="286" spans="1:12" x14ac:dyDescent="0.25">
      <c r="A286" s="3">
        <v>45419</v>
      </c>
      <c r="B286" t="s">
        <v>967</v>
      </c>
      <c r="C286" t="s">
        <v>1093</v>
      </c>
      <c r="D286" t="s">
        <v>1389</v>
      </c>
      <c r="E286" t="s">
        <v>1350</v>
      </c>
      <c r="F286" t="s">
        <v>1353</v>
      </c>
      <c r="G286" t="s">
        <v>1369</v>
      </c>
      <c r="H286" s="5">
        <v>25</v>
      </c>
      <c r="I286" s="9">
        <v>2999</v>
      </c>
      <c r="J286" s="9">
        <f t="shared" si="4"/>
        <v>74975</v>
      </c>
      <c r="K286" t="s">
        <v>1379</v>
      </c>
      <c r="L286" t="s">
        <v>1380</v>
      </c>
    </row>
    <row r="287" spans="1:12" x14ac:dyDescent="0.25">
      <c r="A287" s="3">
        <v>45464</v>
      </c>
      <c r="B287" t="s">
        <v>733</v>
      </c>
      <c r="C287" t="s">
        <v>1054</v>
      </c>
      <c r="D287" t="s">
        <v>1344</v>
      </c>
      <c r="E287" t="s">
        <v>1350</v>
      </c>
      <c r="F287" t="s">
        <v>1352</v>
      </c>
      <c r="G287" t="s">
        <v>1368</v>
      </c>
      <c r="H287" s="5">
        <v>23</v>
      </c>
      <c r="I287" s="9">
        <v>1499</v>
      </c>
      <c r="J287" s="9">
        <f t="shared" si="4"/>
        <v>34477</v>
      </c>
      <c r="K287" t="s">
        <v>1378</v>
      </c>
      <c r="L287" t="s">
        <v>1384</v>
      </c>
    </row>
    <row r="288" spans="1:12" x14ac:dyDescent="0.25">
      <c r="A288" s="3">
        <v>45651</v>
      </c>
      <c r="B288" t="s">
        <v>401</v>
      </c>
      <c r="C288" t="s">
        <v>1098</v>
      </c>
      <c r="D288" t="s">
        <v>1389</v>
      </c>
      <c r="E288" t="s">
        <v>1349</v>
      </c>
      <c r="F288" t="s">
        <v>1355</v>
      </c>
      <c r="G288" t="s">
        <v>1360</v>
      </c>
      <c r="H288" s="5">
        <v>5</v>
      </c>
      <c r="I288" s="9">
        <v>999</v>
      </c>
      <c r="J288" s="9">
        <f t="shared" si="4"/>
        <v>4995</v>
      </c>
      <c r="K288" t="s">
        <v>1379</v>
      </c>
      <c r="L288" t="s">
        <v>1384</v>
      </c>
    </row>
    <row r="289" spans="1:12" x14ac:dyDescent="0.25">
      <c r="A289" s="3">
        <v>45656</v>
      </c>
      <c r="B289" t="s">
        <v>53</v>
      </c>
      <c r="C289" t="s">
        <v>1043</v>
      </c>
      <c r="D289" t="s">
        <v>1345</v>
      </c>
      <c r="E289" t="s">
        <v>1346</v>
      </c>
      <c r="F289" t="s">
        <v>1353</v>
      </c>
      <c r="G289" t="s">
        <v>1359</v>
      </c>
      <c r="H289" s="5">
        <v>7</v>
      </c>
      <c r="I289" s="9">
        <v>999</v>
      </c>
      <c r="J289" s="9">
        <f t="shared" si="4"/>
        <v>6993</v>
      </c>
      <c r="K289" t="s">
        <v>1379</v>
      </c>
      <c r="L289" t="s">
        <v>1384</v>
      </c>
    </row>
    <row r="290" spans="1:12" x14ac:dyDescent="0.25">
      <c r="A290" s="3">
        <v>45409</v>
      </c>
      <c r="B290" t="s">
        <v>154</v>
      </c>
      <c r="C290" t="s">
        <v>1113</v>
      </c>
      <c r="D290" t="s">
        <v>1389</v>
      </c>
      <c r="E290" t="s">
        <v>1346</v>
      </c>
      <c r="F290" t="s">
        <v>1353</v>
      </c>
      <c r="G290" t="s">
        <v>1365</v>
      </c>
      <c r="H290" s="5">
        <v>10</v>
      </c>
      <c r="I290" s="9">
        <v>1499</v>
      </c>
      <c r="J290" s="9">
        <f t="shared" si="4"/>
        <v>14990</v>
      </c>
      <c r="K290" t="s">
        <v>1377</v>
      </c>
      <c r="L290" t="s">
        <v>1382</v>
      </c>
    </row>
    <row r="291" spans="1:12" x14ac:dyDescent="0.25">
      <c r="A291" s="3">
        <v>45597</v>
      </c>
      <c r="B291" t="s">
        <v>1020</v>
      </c>
      <c r="C291" t="s">
        <v>1070</v>
      </c>
      <c r="D291" t="s">
        <v>1345</v>
      </c>
      <c r="E291" t="s">
        <v>1346</v>
      </c>
      <c r="F291" t="s">
        <v>1351</v>
      </c>
      <c r="G291" t="s">
        <v>1371</v>
      </c>
      <c r="H291" s="5">
        <v>22</v>
      </c>
      <c r="I291" s="9">
        <v>2499</v>
      </c>
      <c r="J291" s="9">
        <f t="shared" si="4"/>
        <v>54978</v>
      </c>
      <c r="K291" t="s">
        <v>1379</v>
      </c>
      <c r="L291" t="s">
        <v>1383</v>
      </c>
    </row>
    <row r="292" spans="1:12" x14ac:dyDescent="0.25">
      <c r="A292" s="3">
        <v>45543</v>
      </c>
      <c r="B292" t="s">
        <v>664</v>
      </c>
      <c r="C292" t="s">
        <v>1305</v>
      </c>
      <c r="D292" t="s">
        <v>1345</v>
      </c>
      <c r="E292" t="s">
        <v>1347</v>
      </c>
      <c r="F292" t="s">
        <v>1352</v>
      </c>
      <c r="G292" t="s">
        <v>1368</v>
      </c>
      <c r="H292" s="5">
        <v>0</v>
      </c>
      <c r="I292" s="9">
        <v>3499</v>
      </c>
      <c r="J292" s="9">
        <f t="shared" si="4"/>
        <v>0</v>
      </c>
      <c r="K292" t="s">
        <v>1379</v>
      </c>
      <c r="L292" t="s">
        <v>1384</v>
      </c>
    </row>
    <row r="293" spans="1:12" x14ac:dyDescent="0.25">
      <c r="A293" s="3">
        <v>45595</v>
      </c>
      <c r="B293" t="s">
        <v>409</v>
      </c>
      <c r="C293" t="s">
        <v>1217</v>
      </c>
      <c r="D293" t="s">
        <v>1345</v>
      </c>
      <c r="E293" t="s">
        <v>1347</v>
      </c>
      <c r="F293" t="s">
        <v>1355</v>
      </c>
      <c r="G293" t="s">
        <v>1374</v>
      </c>
      <c r="H293" s="5">
        <v>9</v>
      </c>
      <c r="I293" s="9">
        <v>1838</v>
      </c>
      <c r="J293" s="9">
        <f t="shared" si="4"/>
        <v>16542</v>
      </c>
      <c r="K293" t="s">
        <v>1378</v>
      </c>
      <c r="L293" t="s">
        <v>1382</v>
      </c>
    </row>
    <row r="294" spans="1:12" x14ac:dyDescent="0.25">
      <c r="A294" s="3">
        <v>45515</v>
      </c>
      <c r="B294" t="s">
        <v>334</v>
      </c>
      <c r="C294" t="s">
        <v>1194</v>
      </c>
      <c r="D294" t="s">
        <v>1389</v>
      </c>
      <c r="E294" t="s">
        <v>1348</v>
      </c>
      <c r="F294" t="s">
        <v>1352</v>
      </c>
      <c r="G294" t="s">
        <v>1358</v>
      </c>
      <c r="H294" s="5">
        <v>4</v>
      </c>
      <c r="I294" s="9">
        <v>999</v>
      </c>
      <c r="J294" s="9">
        <f t="shared" si="4"/>
        <v>3996</v>
      </c>
      <c r="K294" t="s">
        <v>1379</v>
      </c>
      <c r="L294" t="s">
        <v>1382</v>
      </c>
    </row>
    <row r="295" spans="1:12" x14ac:dyDescent="0.25">
      <c r="A295" s="3">
        <v>45300</v>
      </c>
      <c r="B295" t="s">
        <v>524</v>
      </c>
      <c r="C295" t="s">
        <v>1056</v>
      </c>
      <c r="D295" t="s">
        <v>1344</v>
      </c>
      <c r="E295" t="s">
        <v>1348</v>
      </c>
      <c r="F295" t="s">
        <v>1351</v>
      </c>
      <c r="G295" t="s">
        <v>1370</v>
      </c>
      <c r="H295" s="5">
        <v>12</v>
      </c>
      <c r="I295" s="9">
        <v>2999</v>
      </c>
      <c r="J295" s="9">
        <f t="shared" si="4"/>
        <v>35988</v>
      </c>
      <c r="K295" t="s">
        <v>1378</v>
      </c>
      <c r="L295" t="s">
        <v>1381</v>
      </c>
    </row>
    <row r="296" spans="1:12" x14ac:dyDescent="0.25">
      <c r="A296" s="3">
        <v>45296</v>
      </c>
      <c r="B296" t="s">
        <v>155</v>
      </c>
      <c r="C296" t="s">
        <v>1068</v>
      </c>
      <c r="D296" t="s">
        <v>1389</v>
      </c>
      <c r="E296" t="s">
        <v>1347</v>
      </c>
      <c r="F296" t="s">
        <v>1353</v>
      </c>
      <c r="G296" t="s">
        <v>1359</v>
      </c>
      <c r="H296" s="5">
        <v>3</v>
      </c>
      <c r="I296" s="9">
        <v>999</v>
      </c>
      <c r="J296" s="9">
        <f t="shared" si="4"/>
        <v>2997</v>
      </c>
      <c r="K296" t="s">
        <v>1377</v>
      </c>
      <c r="L296" t="s">
        <v>1380</v>
      </c>
    </row>
    <row r="297" spans="1:12" x14ac:dyDescent="0.25">
      <c r="A297" s="3">
        <v>45441</v>
      </c>
      <c r="B297" t="s">
        <v>321</v>
      </c>
      <c r="C297" t="s">
        <v>1156</v>
      </c>
      <c r="D297" t="s">
        <v>1389</v>
      </c>
      <c r="E297" t="s">
        <v>1347</v>
      </c>
      <c r="F297" t="s">
        <v>1351</v>
      </c>
      <c r="G297" t="s">
        <v>1356</v>
      </c>
      <c r="H297" s="5">
        <v>36</v>
      </c>
      <c r="I297" s="9">
        <v>1499</v>
      </c>
      <c r="J297" s="9">
        <f t="shared" si="4"/>
        <v>53964</v>
      </c>
      <c r="K297" t="s">
        <v>1378</v>
      </c>
      <c r="L297" t="s">
        <v>1384</v>
      </c>
    </row>
    <row r="298" spans="1:12" x14ac:dyDescent="0.25">
      <c r="A298" s="3">
        <v>45338</v>
      </c>
      <c r="B298" t="s">
        <v>277</v>
      </c>
      <c r="C298" t="s">
        <v>1086</v>
      </c>
      <c r="D298" t="s">
        <v>1344</v>
      </c>
      <c r="E298" t="s">
        <v>1349</v>
      </c>
      <c r="F298" t="s">
        <v>1352</v>
      </c>
      <c r="G298" t="s">
        <v>1368</v>
      </c>
      <c r="H298" s="5">
        <v>3</v>
      </c>
      <c r="I298" s="9">
        <v>1624</v>
      </c>
      <c r="J298" s="9">
        <f t="shared" si="4"/>
        <v>4872</v>
      </c>
      <c r="K298" t="s">
        <v>1379</v>
      </c>
      <c r="L298" t="s">
        <v>1382</v>
      </c>
    </row>
    <row r="299" spans="1:12" x14ac:dyDescent="0.25">
      <c r="A299" s="3">
        <v>45607</v>
      </c>
      <c r="B299" t="s">
        <v>789</v>
      </c>
      <c r="C299" t="s">
        <v>1025</v>
      </c>
      <c r="D299" t="s">
        <v>1345</v>
      </c>
      <c r="E299" t="s">
        <v>1350</v>
      </c>
      <c r="F299" t="s">
        <v>1354</v>
      </c>
      <c r="G299" t="s">
        <v>1362</v>
      </c>
      <c r="H299" s="5">
        <v>30</v>
      </c>
      <c r="I299" s="9">
        <v>199</v>
      </c>
      <c r="J299" s="9">
        <f t="shared" si="4"/>
        <v>5970</v>
      </c>
      <c r="K299" t="s">
        <v>1376</v>
      </c>
      <c r="L299" t="s">
        <v>1383</v>
      </c>
    </row>
    <row r="300" spans="1:12" x14ac:dyDescent="0.25">
      <c r="A300" s="3">
        <v>45519</v>
      </c>
      <c r="B300" t="s">
        <v>940</v>
      </c>
      <c r="C300" t="s">
        <v>1165</v>
      </c>
      <c r="D300" t="s">
        <v>1344</v>
      </c>
      <c r="E300" t="s">
        <v>1349</v>
      </c>
      <c r="F300" t="s">
        <v>1351</v>
      </c>
      <c r="G300" t="s">
        <v>1370</v>
      </c>
      <c r="H300" s="5">
        <v>10</v>
      </c>
      <c r="I300" s="9">
        <v>3499</v>
      </c>
      <c r="J300" s="9">
        <f t="shared" si="4"/>
        <v>34990</v>
      </c>
      <c r="K300" t="s">
        <v>1377</v>
      </c>
      <c r="L300" t="s">
        <v>1383</v>
      </c>
    </row>
    <row r="301" spans="1:12" x14ac:dyDescent="0.25">
      <c r="A301" s="3">
        <v>45518</v>
      </c>
      <c r="B301" t="s">
        <v>946</v>
      </c>
      <c r="C301" t="s">
        <v>1327</v>
      </c>
      <c r="D301" t="s">
        <v>1345</v>
      </c>
      <c r="E301" t="s">
        <v>1349</v>
      </c>
      <c r="F301" t="s">
        <v>1352</v>
      </c>
      <c r="G301" t="s">
        <v>1364</v>
      </c>
      <c r="H301" s="5">
        <v>36</v>
      </c>
      <c r="I301" s="9">
        <v>2499</v>
      </c>
      <c r="J301" s="9">
        <f t="shared" si="4"/>
        <v>89964</v>
      </c>
      <c r="K301" t="s">
        <v>1377</v>
      </c>
      <c r="L301" t="s">
        <v>1383</v>
      </c>
    </row>
    <row r="302" spans="1:12" x14ac:dyDescent="0.25">
      <c r="A302" s="3">
        <v>45559</v>
      </c>
      <c r="B302" t="s">
        <v>191</v>
      </c>
      <c r="C302" t="s">
        <v>1154</v>
      </c>
      <c r="D302" t="s">
        <v>1345</v>
      </c>
      <c r="E302" t="s">
        <v>1348</v>
      </c>
      <c r="F302" t="s">
        <v>1351</v>
      </c>
      <c r="G302" t="s">
        <v>1370</v>
      </c>
      <c r="H302" s="5">
        <v>29</v>
      </c>
      <c r="I302" s="9">
        <v>3499</v>
      </c>
      <c r="J302" s="9">
        <f t="shared" si="4"/>
        <v>101471</v>
      </c>
      <c r="K302" t="s">
        <v>1377</v>
      </c>
      <c r="L302" t="s">
        <v>1384</v>
      </c>
    </row>
    <row r="303" spans="1:12" x14ac:dyDescent="0.25">
      <c r="A303" s="3">
        <v>45643</v>
      </c>
      <c r="B303" t="s">
        <v>289</v>
      </c>
      <c r="C303" t="s">
        <v>1108</v>
      </c>
      <c r="D303" t="s">
        <v>1345</v>
      </c>
      <c r="E303" t="s">
        <v>1347</v>
      </c>
      <c r="F303" t="s">
        <v>1355</v>
      </c>
      <c r="G303" t="s">
        <v>1373</v>
      </c>
      <c r="H303" s="5">
        <v>42</v>
      </c>
      <c r="I303" s="9">
        <v>2999</v>
      </c>
      <c r="J303" s="9">
        <f t="shared" si="4"/>
        <v>125958</v>
      </c>
      <c r="K303" t="s">
        <v>1377</v>
      </c>
      <c r="L303" t="s">
        <v>1384</v>
      </c>
    </row>
    <row r="304" spans="1:12" x14ac:dyDescent="0.25">
      <c r="A304" s="3">
        <v>45520</v>
      </c>
      <c r="B304" t="s">
        <v>462</v>
      </c>
      <c r="C304" t="s">
        <v>1272</v>
      </c>
      <c r="D304" t="s">
        <v>1389</v>
      </c>
      <c r="E304" t="s">
        <v>1350</v>
      </c>
      <c r="F304" t="s">
        <v>1352</v>
      </c>
      <c r="G304" t="s">
        <v>1364</v>
      </c>
      <c r="H304" s="5">
        <v>40</v>
      </c>
      <c r="I304" s="9">
        <v>499</v>
      </c>
      <c r="J304" s="9">
        <f t="shared" si="4"/>
        <v>19960</v>
      </c>
      <c r="K304" t="s">
        <v>1376</v>
      </c>
      <c r="L304" t="s">
        <v>1382</v>
      </c>
    </row>
    <row r="305" spans="1:12" x14ac:dyDescent="0.25">
      <c r="A305" s="3">
        <v>45435</v>
      </c>
      <c r="B305" t="s">
        <v>302</v>
      </c>
      <c r="C305" t="s">
        <v>1052</v>
      </c>
      <c r="D305" t="s">
        <v>1389</v>
      </c>
      <c r="E305" t="s">
        <v>1349</v>
      </c>
      <c r="F305" t="s">
        <v>1355</v>
      </c>
      <c r="G305" t="s">
        <v>1373</v>
      </c>
      <c r="H305" s="5">
        <v>47</v>
      </c>
      <c r="I305" s="9">
        <v>1838</v>
      </c>
      <c r="J305" s="9">
        <f t="shared" si="4"/>
        <v>86386</v>
      </c>
      <c r="K305" t="s">
        <v>1379</v>
      </c>
      <c r="L305" t="s">
        <v>1382</v>
      </c>
    </row>
    <row r="306" spans="1:12" x14ac:dyDescent="0.25">
      <c r="A306" s="3">
        <v>45394</v>
      </c>
      <c r="B306" t="s">
        <v>991</v>
      </c>
      <c r="C306" t="s">
        <v>1026</v>
      </c>
      <c r="D306" t="s">
        <v>1344</v>
      </c>
      <c r="E306" t="s">
        <v>1350</v>
      </c>
      <c r="F306" t="s">
        <v>1353</v>
      </c>
      <c r="G306" t="s">
        <v>1367</v>
      </c>
      <c r="H306" s="5">
        <v>6</v>
      </c>
      <c r="I306" s="9">
        <v>1999</v>
      </c>
      <c r="J306" s="9">
        <f t="shared" si="4"/>
        <v>11994</v>
      </c>
      <c r="K306" t="s">
        <v>1379</v>
      </c>
      <c r="L306" t="s">
        <v>1380</v>
      </c>
    </row>
    <row r="307" spans="1:12" x14ac:dyDescent="0.25">
      <c r="A307" s="3">
        <v>45544</v>
      </c>
      <c r="B307" t="s">
        <v>530</v>
      </c>
      <c r="C307" t="s">
        <v>1204</v>
      </c>
      <c r="D307" t="s">
        <v>1344</v>
      </c>
      <c r="E307" t="s">
        <v>1350</v>
      </c>
      <c r="F307" t="s">
        <v>1353</v>
      </c>
      <c r="G307" t="s">
        <v>1367</v>
      </c>
      <c r="H307" s="5">
        <v>6</v>
      </c>
      <c r="I307" s="9">
        <v>999</v>
      </c>
      <c r="J307" s="9">
        <f t="shared" si="4"/>
        <v>5994</v>
      </c>
      <c r="K307" t="s">
        <v>1379</v>
      </c>
      <c r="L307" t="s">
        <v>1382</v>
      </c>
    </row>
    <row r="308" spans="1:12" x14ac:dyDescent="0.25">
      <c r="A308" s="3">
        <v>45531</v>
      </c>
      <c r="B308" t="s">
        <v>818</v>
      </c>
      <c r="C308" t="s">
        <v>1225</v>
      </c>
      <c r="D308" t="s">
        <v>1344</v>
      </c>
      <c r="E308" t="s">
        <v>1349</v>
      </c>
      <c r="F308" t="s">
        <v>1353</v>
      </c>
      <c r="G308" t="s">
        <v>1359</v>
      </c>
      <c r="H308" s="5">
        <v>5</v>
      </c>
      <c r="I308" s="9">
        <v>1845</v>
      </c>
      <c r="J308" s="9">
        <f t="shared" si="4"/>
        <v>9225</v>
      </c>
      <c r="K308" t="s">
        <v>1377</v>
      </c>
      <c r="L308" t="s">
        <v>1382</v>
      </c>
    </row>
    <row r="309" spans="1:12" x14ac:dyDescent="0.25">
      <c r="A309" s="3">
        <v>45498</v>
      </c>
      <c r="B309" t="s">
        <v>934</v>
      </c>
      <c r="C309" t="s">
        <v>1128</v>
      </c>
      <c r="D309" t="s">
        <v>1344</v>
      </c>
      <c r="E309" t="s">
        <v>1348</v>
      </c>
      <c r="F309" t="s">
        <v>1351</v>
      </c>
      <c r="G309" t="s">
        <v>1371</v>
      </c>
      <c r="H309" s="5">
        <v>11</v>
      </c>
      <c r="I309" s="9">
        <v>1999</v>
      </c>
      <c r="J309" s="9">
        <f t="shared" si="4"/>
        <v>21989</v>
      </c>
      <c r="K309" t="s">
        <v>1378</v>
      </c>
      <c r="L309" t="s">
        <v>1380</v>
      </c>
    </row>
    <row r="310" spans="1:12" x14ac:dyDescent="0.25">
      <c r="A310" s="3">
        <v>45627</v>
      </c>
      <c r="B310" t="s">
        <v>489</v>
      </c>
      <c r="C310" t="s">
        <v>1030</v>
      </c>
      <c r="D310" t="s">
        <v>1345</v>
      </c>
      <c r="E310" t="s">
        <v>1349</v>
      </c>
      <c r="F310" t="s">
        <v>1355</v>
      </c>
      <c r="G310" t="s">
        <v>1360</v>
      </c>
      <c r="H310" s="5">
        <v>2</v>
      </c>
      <c r="I310" s="9">
        <v>1838</v>
      </c>
      <c r="J310" s="9">
        <f t="shared" si="4"/>
        <v>3676</v>
      </c>
      <c r="K310" t="s">
        <v>1377</v>
      </c>
      <c r="L310" t="s">
        <v>1382</v>
      </c>
    </row>
    <row r="311" spans="1:12" x14ac:dyDescent="0.25">
      <c r="A311" s="3">
        <v>45373</v>
      </c>
      <c r="B311" t="s">
        <v>17</v>
      </c>
      <c r="C311" t="s">
        <v>1029</v>
      </c>
      <c r="D311" t="s">
        <v>1345</v>
      </c>
      <c r="E311" t="s">
        <v>1347</v>
      </c>
      <c r="F311" t="s">
        <v>1352</v>
      </c>
      <c r="G311" t="s">
        <v>1358</v>
      </c>
      <c r="H311" s="5">
        <v>27</v>
      </c>
      <c r="I311" s="9">
        <v>499</v>
      </c>
      <c r="J311" s="9">
        <f t="shared" si="4"/>
        <v>13473</v>
      </c>
      <c r="K311" t="s">
        <v>1379</v>
      </c>
      <c r="L311" t="s">
        <v>1382</v>
      </c>
    </row>
    <row r="312" spans="1:12" x14ac:dyDescent="0.25">
      <c r="A312" s="3">
        <v>45330</v>
      </c>
      <c r="B312" t="s">
        <v>983</v>
      </c>
      <c r="C312" t="s">
        <v>1238</v>
      </c>
      <c r="D312" t="s">
        <v>1345</v>
      </c>
      <c r="E312" t="s">
        <v>1349</v>
      </c>
      <c r="F312" t="s">
        <v>1353</v>
      </c>
      <c r="G312" t="s">
        <v>1359</v>
      </c>
      <c r="H312" s="5">
        <v>11</v>
      </c>
      <c r="I312" s="9">
        <v>1499</v>
      </c>
      <c r="J312" s="9">
        <f t="shared" si="4"/>
        <v>16489</v>
      </c>
      <c r="K312" t="s">
        <v>1377</v>
      </c>
      <c r="L312" t="s">
        <v>1382</v>
      </c>
    </row>
    <row r="313" spans="1:12" x14ac:dyDescent="0.25">
      <c r="A313" s="3">
        <v>45403</v>
      </c>
      <c r="B313" t="s">
        <v>215</v>
      </c>
      <c r="C313" t="s">
        <v>1169</v>
      </c>
      <c r="D313" t="s">
        <v>1389</v>
      </c>
      <c r="E313" t="s">
        <v>1347</v>
      </c>
      <c r="F313" t="s">
        <v>1353</v>
      </c>
      <c r="G313" t="s">
        <v>1365</v>
      </c>
      <c r="H313" s="5">
        <v>3</v>
      </c>
      <c r="I313" s="9">
        <v>999</v>
      </c>
      <c r="J313" s="9">
        <f t="shared" si="4"/>
        <v>2997</v>
      </c>
      <c r="K313" t="s">
        <v>1377</v>
      </c>
      <c r="L313" t="s">
        <v>1384</v>
      </c>
    </row>
    <row r="314" spans="1:12" x14ac:dyDescent="0.25">
      <c r="A314" s="3">
        <v>45638</v>
      </c>
      <c r="B314" t="s">
        <v>958</v>
      </c>
      <c r="C314" t="s">
        <v>1340</v>
      </c>
      <c r="D314" t="s">
        <v>1345</v>
      </c>
      <c r="E314" t="s">
        <v>1348</v>
      </c>
      <c r="F314" t="s">
        <v>1354</v>
      </c>
      <c r="G314" t="s">
        <v>1362</v>
      </c>
      <c r="H314" s="5">
        <v>48</v>
      </c>
      <c r="I314" s="9">
        <v>1749</v>
      </c>
      <c r="J314" s="9">
        <f t="shared" si="4"/>
        <v>83952</v>
      </c>
      <c r="K314" t="s">
        <v>1376</v>
      </c>
      <c r="L314" t="s">
        <v>1381</v>
      </c>
    </row>
    <row r="315" spans="1:12" x14ac:dyDescent="0.25">
      <c r="A315" s="3">
        <v>45395</v>
      </c>
      <c r="B315" t="s">
        <v>727</v>
      </c>
      <c r="C315" t="s">
        <v>1031</v>
      </c>
      <c r="D315" t="s">
        <v>1344</v>
      </c>
      <c r="E315" t="s">
        <v>1349</v>
      </c>
      <c r="F315" t="s">
        <v>1354</v>
      </c>
      <c r="G315" t="s">
        <v>1361</v>
      </c>
      <c r="H315" s="5">
        <v>2</v>
      </c>
      <c r="I315" s="9">
        <v>1749</v>
      </c>
      <c r="J315" s="9">
        <f t="shared" si="4"/>
        <v>3498</v>
      </c>
      <c r="K315" t="s">
        <v>1377</v>
      </c>
      <c r="L315" t="s">
        <v>1384</v>
      </c>
    </row>
    <row r="316" spans="1:12" x14ac:dyDescent="0.25">
      <c r="A316" s="3">
        <v>45435</v>
      </c>
      <c r="B316" t="s">
        <v>96</v>
      </c>
      <c r="C316" t="s">
        <v>1096</v>
      </c>
      <c r="D316" t="s">
        <v>1345</v>
      </c>
      <c r="E316" t="s">
        <v>1348</v>
      </c>
      <c r="F316" t="s">
        <v>1352</v>
      </c>
      <c r="G316" t="s">
        <v>1375</v>
      </c>
      <c r="H316" s="5">
        <v>47</v>
      </c>
      <c r="I316" s="9">
        <v>199</v>
      </c>
      <c r="J316" s="9">
        <f t="shared" si="4"/>
        <v>9353</v>
      </c>
      <c r="K316" t="s">
        <v>1379</v>
      </c>
      <c r="L316" t="s">
        <v>1384</v>
      </c>
    </row>
    <row r="317" spans="1:12" x14ac:dyDescent="0.25">
      <c r="A317" s="3">
        <v>45543</v>
      </c>
      <c r="B317" t="s">
        <v>898</v>
      </c>
      <c r="C317" t="s">
        <v>1066</v>
      </c>
      <c r="D317" t="s">
        <v>1345</v>
      </c>
      <c r="E317" t="s">
        <v>1347</v>
      </c>
      <c r="F317" t="s">
        <v>1353</v>
      </c>
      <c r="G317" t="s">
        <v>1369</v>
      </c>
      <c r="H317" s="5">
        <v>30</v>
      </c>
      <c r="I317" s="9">
        <v>3499</v>
      </c>
      <c r="J317" s="9">
        <f t="shared" si="4"/>
        <v>104970</v>
      </c>
      <c r="K317" t="s">
        <v>1378</v>
      </c>
      <c r="L317" t="s">
        <v>1380</v>
      </c>
    </row>
    <row r="318" spans="1:12" x14ac:dyDescent="0.25">
      <c r="A318" s="3">
        <v>45344</v>
      </c>
      <c r="B318" t="s">
        <v>858</v>
      </c>
      <c r="C318" t="s">
        <v>1324</v>
      </c>
      <c r="D318" t="s">
        <v>1344</v>
      </c>
      <c r="E318" t="s">
        <v>1348</v>
      </c>
      <c r="F318" t="s">
        <v>1352</v>
      </c>
      <c r="G318" t="s">
        <v>1358</v>
      </c>
      <c r="H318" s="5">
        <v>32</v>
      </c>
      <c r="I318" s="9">
        <v>2499</v>
      </c>
      <c r="J318" s="9">
        <f t="shared" si="4"/>
        <v>79968</v>
      </c>
      <c r="K318" t="s">
        <v>1379</v>
      </c>
      <c r="L318" t="s">
        <v>1382</v>
      </c>
    </row>
    <row r="319" spans="1:12" x14ac:dyDescent="0.25">
      <c r="A319" s="3">
        <v>45313</v>
      </c>
      <c r="B319" t="s">
        <v>814</v>
      </c>
      <c r="C319" t="s">
        <v>1292</v>
      </c>
      <c r="D319" t="s">
        <v>1389</v>
      </c>
      <c r="E319" t="s">
        <v>1349</v>
      </c>
      <c r="F319" t="s">
        <v>1354</v>
      </c>
      <c r="G319" t="s">
        <v>1366</v>
      </c>
      <c r="H319" s="5">
        <v>42</v>
      </c>
      <c r="I319" s="9">
        <v>999</v>
      </c>
      <c r="J319" s="9">
        <f t="shared" si="4"/>
        <v>41958</v>
      </c>
      <c r="K319" t="s">
        <v>1379</v>
      </c>
      <c r="L319" t="s">
        <v>1380</v>
      </c>
    </row>
    <row r="320" spans="1:12" x14ac:dyDescent="0.25">
      <c r="A320" s="3">
        <v>45611</v>
      </c>
      <c r="B320" t="s">
        <v>889</v>
      </c>
      <c r="C320" t="s">
        <v>1156</v>
      </c>
      <c r="D320" t="s">
        <v>1389</v>
      </c>
      <c r="E320" t="s">
        <v>1348</v>
      </c>
      <c r="F320" t="s">
        <v>1351</v>
      </c>
      <c r="G320" t="s">
        <v>1356</v>
      </c>
      <c r="H320" s="5">
        <v>10</v>
      </c>
      <c r="I320" s="9">
        <v>2499</v>
      </c>
      <c r="J320" s="9">
        <f t="shared" si="4"/>
        <v>24990</v>
      </c>
      <c r="K320" t="s">
        <v>1379</v>
      </c>
      <c r="L320" t="s">
        <v>1382</v>
      </c>
    </row>
    <row r="321" spans="1:12" x14ac:dyDescent="0.25">
      <c r="A321" s="3">
        <v>45522</v>
      </c>
      <c r="B321" t="s">
        <v>437</v>
      </c>
      <c r="C321" t="s">
        <v>1176</v>
      </c>
      <c r="D321" t="s">
        <v>1344</v>
      </c>
      <c r="E321" t="s">
        <v>1347</v>
      </c>
      <c r="F321" t="s">
        <v>1353</v>
      </c>
      <c r="G321" t="s">
        <v>1359</v>
      </c>
      <c r="H321" s="5">
        <v>44</v>
      </c>
      <c r="I321" s="9">
        <v>3499</v>
      </c>
      <c r="J321" s="9">
        <f t="shared" si="4"/>
        <v>153956</v>
      </c>
      <c r="K321" t="s">
        <v>1378</v>
      </c>
      <c r="L321" t="s">
        <v>1384</v>
      </c>
    </row>
    <row r="322" spans="1:12" x14ac:dyDescent="0.25">
      <c r="A322" s="3">
        <v>45573</v>
      </c>
      <c r="B322" t="s">
        <v>450</v>
      </c>
      <c r="C322" t="s">
        <v>1267</v>
      </c>
      <c r="D322" t="s">
        <v>1344</v>
      </c>
      <c r="E322" t="s">
        <v>1348</v>
      </c>
      <c r="F322" t="s">
        <v>1353</v>
      </c>
      <c r="G322" t="s">
        <v>1369</v>
      </c>
      <c r="H322" s="5">
        <v>35</v>
      </c>
      <c r="I322" s="9">
        <v>199</v>
      </c>
      <c r="J322" s="9">
        <f t="shared" ref="J322:J385" si="5">H322*I322</f>
        <v>6965</v>
      </c>
      <c r="K322" t="s">
        <v>1378</v>
      </c>
      <c r="L322" t="s">
        <v>1383</v>
      </c>
    </row>
    <row r="323" spans="1:12" x14ac:dyDescent="0.25">
      <c r="A323" s="3">
        <v>45321</v>
      </c>
      <c r="B323" t="s">
        <v>332</v>
      </c>
      <c r="C323" t="s">
        <v>1179</v>
      </c>
      <c r="D323" t="s">
        <v>1344</v>
      </c>
      <c r="E323" t="s">
        <v>1348</v>
      </c>
      <c r="F323" t="s">
        <v>1354</v>
      </c>
      <c r="G323" t="s">
        <v>1363</v>
      </c>
      <c r="H323" s="5">
        <v>18</v>
      </c>
      <c r="I323" s="9">
        <v>2999</v>
      </c>
      <c r="J323" s="9">
        <f t="shared" si="5"/>
        <v>53982</v>
      </c>
      <c r="K323" t="s">
        <v>1379</v>
      </c>
      <c r="L323" t="s">
        <v>1382</v>
      </c>
    </row>
    <row r="324" spans="1:12" x14ac:dyDescent="0.25">
      <c r="A324" s="3">
        <v>45524</v>
      </c>
      <c r="B324" t="s">
        <v>828</v>
      </c>
      <c r="C324" t="s">
        <v>1277</v>
      </c>
      <c r="D324" t="s">
        <v>1389</v>
      </c>
      <c r="E324" t="s">
        <v>1347</v>
      </c>
      <c r="F324" t="s">
        <v>1354</v>
      </c>
      <c r="G324" t="s">
        <v>1363</v>
      </c>
      <c r="H324" s="5">
        <v>36</v>
      </c>
      <c r="I324" s="9">
        <v>1749</v>
      </c>
      <c r="J324" s="9">
        <f t="shared" si="5"/>
        <v>62964</v>
      </c>
      <c r="K324" t="s">
        <v>1379</v>
      </c>
      <c r="L324" t="s">
        <v>1382</v>
      </c>
    </row>
    <row r="325" spans="1:12" x14ac:dyDescent="0.25">
      <c r="A325" s="3">
        <v>45599</v>
      </c>
      <c r="B325" t="s">
        <v>725</v>
      </c>
      <c r="C325" t="s">
        <v>1134</v>
      </c>
      <c r="D325" t="s">
        <v>1345</v>
      </c>
      <c r="E325" t="s">
        <v>1347</v>
      </c>
      <c r="F325" t="s">
        <v>1355</v>
      </c>
      <c r="G325" t="s">
        <v>1372</v>
      </c>
      <c r="H325" s="5">
        <v>3</v>
      </c>
      <c r="I325" s="9">
        <v>1499</v>
      </c>
      <c r="J325" s="9">
        <f t="shared" si="5"/>
        <v>4497</v>
      </c>
      <c r="K325" t="s">
        <v>1379</v>
      </c>
      <c r="L325" t="s">
        <v>1384</v>
      </c>
    </row>
    <row r="326" spans="1:12" x14ac:dyDescent="0.25">
      <c r="A326" s="3">
        <v>45490</v>
      </c>
      <c r="B326" t="s">
        <v>688</v>
      </c>
      <c r="C326" t="s">
        <v>1271</v>
      </c>
      <c r="D326" t="s">
        <v>1344</v>
      </c>
      <c r="E326" t="s">
        <v>1347</v>
      </c>
      <c r="F326" t="s">
        <v>1353</v>
      </c>
      <c r="G326" t="s">
        <v>1359</v>
      </c>
      <c r="H326" s="5">
        <v>4</v>
      </c>
      <c r="I326" s="9">
        <v>1845</v>
      </c>
      <c r="J326" s="9">
        <f t="shared" si="5"/>
        <v>7380</v>
      </c>
      <c r="K326" t="s">
        <v>1378</v>
      </c>
      <c r="L326" t="s">
        <v>1384</v>
      </c>
    </row>
    <row r="327" spans="1:12" x14ac:dyDescent="0.25">
      <c r="A327" s="3">
        <v>45530</v>
      </c>
      <c r="B327" t="s">
        <v>490</v>
      </c>
      <c r="C327" t="s">
        <v>1162</v>
      </c>
      <c r="D327" t="s">
        <v>1345</v>
      </c>
      <c r="E327" t="s">
        <v>1350</v>
      </c>
      <c r="F327" t="s">
        <v>1353</v>
      </c>
      <c r="G327" t="s">
        <v>1365</v>
      </c>
      <c r="H327" s="5">
        <v>8</v>
      </c>
      <c r="I327" s="9">
        <v>3499</v>
      </c>
      <c r="J327" s="9">
        <f t="shared" si="5"/>
        <v>27992</v>
      </c>
      <c r="K327" t="s">
        <v>1378</v>
      </c>
      <c r="L327" t="s">
        <v>1380</v>
      </c>
    </row>
    <row r="328" spans="1:12" x14ac:dyDescent="0.25">
      <c r="A328" s="3">
        <v>45437</v>
      </c>
      <c r="B328" t="s">
        <v>687</v>
      </c>
      <c r="C328" t="s">
        <v>1215</v>
      </c>
      <c r="D328" t="s">
        <v>1345</v>
      </c>
      <c r="E328" t="s">
        <v>1347</v>
      </c>
      <c r="F328" t="s">
        <v>1355</v>
      </c>
      <c r="G328" t="s">
        <v>1372</v>
      </c>
      <c r="H328" s="5">
        <v>33</v>
      </c>
      <c r="I328" s="9">
        <v>2999</v>
      </c>
      <c r="J328" s="9">
        <f t="shared" si="5"/>
        <v>98967</v>
      </c>
      <c r="K328" t="s">
        <v>1379</v>
      </c>
      <c r="L328" t="s">
        <v>1383</v>
      </c>
    </row>
    <row r="329" spans="1:12" x14ac:dyDescent="0.25">
      <c r="A329" s="3">
        <v>45498</v>
      </c>
      <c r="B329" t="s">
        <v>847</v>
      </c>
      <c r="C329" t="s">
        <v>1215</v>
      </c>
      <c r="D329" t="s">
        <v>1345</v>
      </c>
      <c r="E329" t="s">
        <v>1346</v>
      </c>
      <c r="F329" t="s">
        <v>1352</v>
      </c>
      <c r="G329" t="s">
        <v>1364</v>
      </c>
      <c r="H329" s="5">
        <v>2</v>
      </c>
      <c r="I329" s="9">
        <v>2499</v>
      </c>
      <c r="J329" s="9">
        <f t="shared" si="5"/>
        <v>4998</v>
      </c>
      <c r="K329" t="s">
        <v>1377</v>
      </c>
      <c r="L329" t="s">
        <v>1380</v>
      </c>
    </row>
    <row r="330" spans="1:12" x14ac:dyDescent="0.25">
      <c r="A330" s="3">
        <v>45351</v>
      </c>
      <c r="B330" t="s">
        <v>555</v>
      </c>
      <c r="C330" t="s">
        <v>1076</v>
      </c>
      <c r="D330" t="s">
        <v>1345</v>
      </c>
      <c r="E330" t="s">
        <v>1349</v>
      </c>
      <c r="F330" t="s">
        <v>1355</v>
      </c>
      <c r="G330" t="s">
        <v>1373</v>
      </c>
      <c r="H330" s="5">
        <v>2</v>
      </c>
      <c r="I330" s="9">
        <v>999</v>
      </c>
      <c r="J330" s="9">
        <f t="shared" si="5"/>
        <v>1998</v>
      </c>
      <c r="K330" t="s">
        <v>1379</v>
      </c>
      <c r="L330" t="s">
        <v>1384</v>
      </c>
    </row>
    <row r="331" spans="1:12" x14ac:dyDescent="0.25">
      <c r="A331" s="3">
        <v>45353</v>
      </c>
      <c r="B331" t="s">
        <v>493</v>
      </c>
      <c r="C331" t="s">
        <v>1052</v>
      </c>
      <c r="D331" t="s">
        <v>1389</v>
      </c>
      <c r="E331" t="s">
        <v>1348</v>
      </c>
      <c r="F331" t="s">
        <v>1355</v>
      </c>
      <c r="G331" t="s">
        <v>1372</v>
      </c>
      <c r="H331" s="5">
        <v>23</v>
      </c>
      <c r="I331" s="9">
        <v>3499</v>
      </c>
      <c r="J331" s="9">
        <f t="shared" si="5"/>
        <v>80477</v>
      </c>
      <c r="K331" t="s">
        <v>1378</v>
      </c>
      <c r="L331" t="s">
        <v>1380</v>
      </c>
    </row>
    <row r="332" spans="1:12" x14ac:dyDescent="0.25">
      <c r="A332" s="3">
        <v>45620</v>
      </c>
      <c r="B332" t="s">
        <v>592</v>
      </c>
      <c r="C332" t="s">
        <v>1302</v>
      </c>
      <c r="D332" t="s">
        <v>1344</v>
      </c>
      <c r="E332" t="s">
        <v>1348</v>
      </c>
      <c r="F332" t="s">
        <v>1354</v>
      </c>
      <c r="G332" t="s">
        <v>1362</v>
      </c>
      <c r="H332" s="5">
        <v>7</v>
      </c>
      <c r="I332" s="9">
        <v>1999</v>
      </c>
      <c r="J332" s="9">
        <f t="shared" si="5"/>
        <v>13993</v>
      </c>
      <c r="K332" t="s">
        <v>1377</v>
      </c>
      <c r="L332" t="s">
        <v>1381</v>
      </c>
    </row>
    <row r="333" spans="1:12" x14ac:dyDescent="0.25">
      <c r="A333" s="3">
        <v>45545</v>
      </c>
      <c r="B333" t="s">
        <v>804</v>
      </c>
      <c r="C333" t="s">
        <v>1325</v>
      </c>
      <c r="D333" t="s">
        <v>1345</v>
      </c>
      <c r="E333" t="s">
        <v>1349</v>
      </c>
      <c r="F333" t="s">
        <v>1354</v>
      </c>
      <c r="G333" t="s">
        <v>1361</v>
      </c>
      <c r="H333" s="5">
        <v>32</v>
      </c>
      <c r="I333" s="9">
        <v>2999</v>
      </c>
      <c r="J333" s="9">
        <f t="shared" si="5"/>
        <v>95968</v>
      </c>
      <c r="K333" t="s">
        <v>1379</v>
      </c>
      <c r="L333" t="s">
        <v>1383</v>
      </c>
    </row>
    <row r="334" spans="1:12" x14ac:dyDescent="0.25">
      <c r="A334" s="3">
        <v>45369</v>
      </c>
      <c r="B334" t="s">
        <v>860</v>
      </c>
      <c r="C334" t="s">
        <v>1193</v>
      </c>
      <c r="D334" t="s">
        <v>1389</v>
      </c>
      <c r="E334" t="s">
        <v>1348</v>
      </c>
      <c r="F334" t="s">
        <v>1351</v>
      </c>
      <c r="G334" t="s">
        <v>1357</v>
      </c>
      <c r="H334" s="5">
        <v>48</v>
      </c>
      <c r="I334" s="9">
        <v>3499</v>
      </c>
      <c r="J334" s="9">
        <f t="shared" si="5"/>
        <v>167952</v>
      </c>
      <c r="K334" t="s">
        <v>1379</v>
      </c>
      <c r="L334" t="s">
        <v>1382</v>
      </c>
    </row>
    <row r="335" spans="1:12" x14ac:dyDescent="0.25">
      <c r="A335" s="3">
        <v>45485</v>
      </c>
      <c r="B335" t="s">
        <v>996</v>
      </c>
      <c r="C335" t="s">
        <v>1250</v>
      </c>
      <c r="D335" t="s">
        <v>1344</v>
      </c>
      <c r="E335" t="s">
        <v>1347</v>
      </c>
      <c r="F335" t="s">
        <v>1351</v>
      </c>
      <c r="G335" t="s">
        <v>1371</v>
      </c>
      <c r="H335" s="5">
        <v>30</v>
      </c>
      <c r="I335" s="9">
        <v>499</v>
      </c>
      <c r="J335" s="9">
        <f t="shared" si="5"/>
        <v>14970</v>
      </c>
      <c r="K335" t="s">
        <v>1376</v>
      </c>
      <c r="L335" t="s">
        <v>1380</v>
      </c>
    </row>
    <row r="336" spans="1:12" x14ac:dyDescent="0.25">
      <c r="A336" s="3">
        <v>45427</v>
      </c>
      <c r="B336" t="s">
        <v>344</v>
      </c>
      <c r="C336" t="s">
        <v>1123</v>
      </c>
      <c r="D336" t="s">
        <v>1345</v>
      </c>
      <c r="E336" t="s">
        <v>1347</v>
      </c>
      <c r="F336" t="s">
        <v>1352</v>
      </c>
      <c r="G336" t="s">
        <v>1375</v>
      </c>
      <c r="H336" s="5">
        <v>49</v>
      </c>
      <c r="I336" s="9">
        <v>999</v>
      </c>
      <c r="J336" s="9">
        <f t="shared" si="5"/>
        <v>48951</v>
      </c>
      <c r="K336" t="s">
        <v>1379</v>
      </c>
      <c r="L336" t="s">
        <v>1383</v>
      </c>
    </row>
    <row r="337" spans="1:12" x14ac:dyDescent="0.25">
      <c r="A337" s="3">
        <v>45518</v>
      </c>
      <c r="B337" t="s">
        <v>244</v>
      </c>
      <c r="C337" t="s">
        <v>1104</v>
      </c>
      <c r="D337" t="s">
        <v>1389</v>
      </c>
      <c r="E337" t="s">
        <v>1347</v>
      </c>
      <c r="F337" t="s">
        <v>1353</v>
      </c>
      <c r="G337" t="s">
        <v>1365</v>
      </c>
      <c r="H337" s="5">
        <v>24</v>
      </c>
      <c r="I337" s="9">
        <v>3499</v>
      </c>
      <c r="J337" s="9">
        <f t="shared" si="5"/>
        <v>83976</v>
      </c>
      <c r="K337" t="s">
        <v>1377</v>
      </c>
      <c r="L337" t="s">
        <v>1384</v>
      </c>
    </row>
    <row r="338" spans="1:12" x14ac:dyDescent="0.25">
      <c r="A338" s="3">
        <v>45342</v>
      </c>
      <c r="B338" t="s">
        <v>305</v>
      </c>
      <c r="C338" t="s">
        <v>1043</v>
      </c>
      <c r="D338" t="s">
        <v>1344</v>
      </c>
      <c r="E338" t="s">
        <v>1347</v>
      </c>
      <c r="F338" t="s">
        <v>1351</v>
      </c>
      <c r="G338" t="s">
        <v>1357</v>
      </c>
      <c r="H338" s="5">
        <v>45</v>
      </c>
      <c r="I338" s="9">
        <v>1499</v>
      </c>
      <c r="J338" s="9">
        <f t="shared" si="5"/>
        <v>67455</v>
      </c>
      <c r="K338" t="s">
        <v>1379</v>
      </c>
      <c r="L338" t="s">
        <v>1383</v>
      </c>
    </row>
    <row r="339" spans="1:12" x14ac:dyDescent="0.25">
      <c r="A339" s="3">
        <v>45486</v>
      </c>
      <c r="B339" t="s">
        <v>40</v>
      </c>
      <c r="C339" t="s">
        <v>1050</v>
      </c>
      <c r="D339" t="s">
        <v>1345</v>
      </c>
      <c r="E339" t="s">
        <v>1349</v>
      </c>
      <c r="F339" t="s">
        <v>1355</v>
      </c>
      <c r="G339" t="s">
        <v>1360</v>
      </c>
      <c r="H339" s="5">
        <v>8</v>
      </c>
      <c r="I339" s="9">
        <v>2499</v>
      </c>
      <c r="J339" s="9">
        <f t="shared" si="5"/>
        <v>19992</v>
      </c>
      <c r="K339" t="s">
        <v>1379</v>
      </c>
      <c r="L339" t="s">
        <v>1382</v>
      </c>
    </row>
    <row r="340" spans="1:12" x14ac:dyDescent="0.25">
      <c r="A340" s="3">
        <v>45467</v>
      </c>
      <c r="B340" t="s">
        <v>708</v>
      </c>
      <c r="C340" t="s">
        <v>1199</v>
      </c>
      <c r="D340" t="s">
        <v>1344</v>
      </c>
      <c r="E340" t="s">
        <v>1348</v>
      </c>
      <c r="F340" t="s">
        <v>1352</v>
      </c>
      <c r="G340" t="s">
        <v>1364</v>
      </c>
      <c r="H340" s="5">
        <v>30</v>
      </c>
      <c r="I340" s="9">
        <v>1999</v>
      </c>
      <c r="J340" s="9">
        <f t="shared" si="5"/>
        <v>59970</v>
      </c>
      <c r="K340" t="s">
        <v>1377</v>
      </c>
      <c r="L340" t="s">
        <v>1382</v>
      </c>
    </row>
    <row r="341" spans="1:12" x14ac:dyDescent="0.25">
      <c r="A341" s="3">
        <v>45443</v>
      </c>
      <c r="B341" t="s">
        <v>704</v>
      </c>
      <c r="C341" t="s">
        <v>1313</v>
      </c>
      <c r="D341" t="s">
        <v>1344</v>
      </c>
      <c r="E341" t="s">
        <v>1347</v>
      </c>
      <c r="F341" t="s">
        <v>1355</v>
      </c>
      <c r="G341" t="s">
        <v>1372</v>
      </c>
      <c r="H341" s="5">
        <v>34</v>
      </c>
      <c r="I341" s="9">
        <v>499</v>
      </c>
      <c r="J341" s="9">
        <f t="shared" si="5"/>
        <v>16966</v>
      </c>
      <c r="K341" t="s">
        <v>1379</v>
      </c>
      <c r="L341" t="s">
        <v>1382</v>
      </c>
    </row>
    <row r="342" spans="1:12" x14ac:dyDescent="0.25">
      <c r="A342" s="3">
        <v>45604</v>
      </c>
      <c r="B342" t="s">
        <v>256</v>
      </c>
      <c r="C342" t="s">
        <v>1189</v>
      </c>
      <c r="D342" t="s">
        <v>1389</v>
      </c>
      <c r="E342" t="s">
        <v>1349</v>
      </c>
      <c r="F342" t="s">
        <v>1354</v>
      </c>
      <c r="G342" t="s">
        <v>1362</v>
      </c>
      <c r="H342" s="5">
        <v>6</v>
      </c>
      <c r="I342" s="9">
        <v>1999</v>
      </c>
      <c r="J342" s="9">
        <f t="shared" si="5"/>
        <v>11994</v>
      </c>
      <c r="K342" t="s">
        <v>1377</v>
      </c>
      <c r="L342" t="s">
        <v>1383</v>
      </c>
    </row>
    <row r="343" spans="1:12" x14ac:dyDescent="0.25">
      <c r="A343" s="3">
        <v>45380</v>
      </c>
      <c r="B343" t="s">
        <v>907</v>
      </c>
      <c r="C343" t="s">
        <v>1139</v>
      </c>
      <c r="D343" t="s">
        <v>1344</v>
      </c>
      <c r="E343" t="s">
        <v>1350</v>
      </c>
      <c r="F343" t="s">
        <v>1353</v>
      </c>
      <c r="G343" t="s">
        <v>1369</v>
      </c>
      <c r="H343" s="5">
        <v>32</v>
      </c>
      <c r="I343" s="9">
        <v>1999</v>
      </c>
      <c r="J343" s="9">
        <f t="shared" si="5"/>
        <v>63968</v>
      </c>
      <c r="K343" t="s">
        <v>1379</v>
      </c>
      <c r="L343" t="s">
        <v>1382</v>
      </c>
    </row>
    <row r="344" spans="1:12" x14ac:dyDescent="0.25">
      <c r="A344" s="3">
        <v>45360</v>
      </c>
      <c r="B344" t="s">
        <v>125</v>
      </c>
      <c r="C344" t="s">
        <v>1116</v>
      </c>
      <c r="D344" t="s">
        <v>1344</v>
      </c>
      <c r="E344" t="s">
        <v>1350</v>
      </c>
      <c r="F344" t="s">
        <v>1351</v>
      </c>
      <c r="G344" t="s">
        <v>1357</v>
      </c>
      <c r="H344" s="5">
        <v>41</v>
      </c>
      <c r="I344" s="9">
        <v>999</v>
      </c>
      <c r="J344" s="9">
        <f t="shared" si="5"/>
        <v>40959</v>
      </c>
      <c r="K344" t="s">
        <v>1379</v>
      </c>
      <c r="L344" t="s">
        <v>1384</v>
      </c>
    </row>
    <row r="345" spans="1:12" x14ac:dyDescent="0.25">
      <c r="A345" s="3">
        <v>45579</v>
      </c>
      <c r="B345" t="s">
        <v>796</v>
      </c>
      <c r="C345" t="s">
        <v>1127</v>
      </c>
      <c r="D345" t="s">
        <v>1344</v>
      </c>
      <c r="E345" t="s">
        <v>1349</v>
      </c>
      <c r="F345" t="s">
        <v>1354</v>
      </c>
      <c r="G345" t="s">
        <v>1361</v>
      </c>
      <c r="H345" s="5">
        <v>44</v>
      </c>
      <c r="I345" s="9">
        <v>999</v>
      </c>
      <c r="J345" s="9">
        <f t="shared" si="5"/>
        <v>43956</v>
      </c>
      <c r="K345" t="s">
        <v>1379</v>
      </c>
      <c r="L345" t="s">
        <v>1381</v>
      </c>
    </row>
    <row r="346" spans="1:12" x14ac:dyDescent="0.25">
      <c r="A346" s="3">
        <v>45392</v>
      </c>
      <c r="B346" t="s">
        <v>470</v>
      </c>
      <c r="C346" t="s">
        <v>1276</v>
      </c>
      <c r="D346" t="s">
        <v>1345</v>
      </c>
      <c r="E346" t="s">
        <v>1349</v>
      </c>
      <c r="F346" t="s">
        <v>1355</v>
      </c>
      <c r="G346" t="s">
        <v>1360</v>
      </c>
      <c r="H346" s="5">
        <v>10</v>
      </c>
      <c r="I346" s="9">
        <v>199</v>
      </c>
      <c r="J346" s="9">
        <f t="shared" si="5"/>
        <v>1990</v>
      </c>
      <c r="K346" t="s">
        <v>1379</v>
      </c>
      <c r="L346" t="s">
        <v>1384</v>
      </c>
    </row>
    <row r="347" spans="1:12" x14ac:dyDescent="0.25">
      <c r="A347" s="3">
        <v>45380</v>
      </c>
      <c r="B347" t="s">
        <v>36</v>
      </c>
      <c r="C347" t="s">
        <v>1046</v>
      </c>
      <c r="D347" t="s">
        <v>1344</v>
      </c>
      <c r="E347" t="s">
        <v>1350</v>
      </c>
      <c r="F347" t="s">
        <v>1353</v>
      </c>
      <c r="G347" t="s">
        <v>1365</v>
      </c>
      <c r="H347" s="5">
        <v>11</v>
      </c>
      <c r="I347" s="9">
        <v>2499</v>
      </c>
      <c r="J347" s="9">
        <f t="shared" si="5"/>
        <v>27489</v>
      </c>
      <c r="K347" t="s">
        <v>1379</v>
      </c>
      <c r="L347" t="s">
        <v>1384</v>
      </c>
    </row>
    <row r="348" spans="1:12" x14ac:dyDescent="0.25">
      <c r="A348" s="3">
        <v>45338</v>
      </c>
      <c r="B348" t="s">
        <v>111</v>
      </c>
      <c r="C348" t="s">
        <v>1068</v>
      </c>
      <c r="D348" t="s">
        <v>1344</v>
      </c>
      <c r="E348" t="s">
        <v>1347</v>
      </c>
      <c r="F348" t="s">
        <v>1351</v>
      </c>
      <c r="G348" t="s">
        <v>1371</v>
      </c>
      <c r="H348" s="5">
        <v>44</v>
      </c>
      <c r="I348" s="9">
        <v>1878</v>
      </c>
      <c r="J348" s="9">
        <f t="shared" si="5"/>
        <v>82632</v>
      </c>
      <c r="K348" t="s">
        <v>1379</v>
      </c>
      <c r="L348" t="s">
        <v>1380</v>
      </c>
    </row>
    <row r="349" spans="1:12" x14ac:dyDescent="0.25">
      <c r="A349" s="3">
        <v>45395</v>
      </c>
      <c r="B349" t="s">
        <v>762</v>
      </c>
      <c r="C349" t="s">
        <v>1080</v>
      </c>
      <c r="D349" t="s">
        <v>1389</v>
      </c>
      <c r="E349" t="s">
        <v>1349</v>
      </c>
      <c r="F349" t="s">
        <v>1354</v>
      </c>
      <c r="G349" t="s">
        <v>1363</v>
      </c>
      <c r="H349" s="5">
        <v>16</v>
      </c>
      <c r="I349" s="9">
        <v>2499</v>
      </c>
      <c r="J349" s="9">
        <f t="shared" si="5"/>
        <v>39984</v>
      </c>
      <c r="K349" t="s">
        <v>1379</v>
      </c>
      <c r="L349" t="s">
        <v>1383</v>
      </c>
    </row>
    <row r="350" spans="1:12" x14ac:dyDescent="0.25">
      <c r="A350" s="3">
        <v>45621</v>
      </c>
      <c r="B350" t="s">
        <v>136</v>
      </c>
      <c r="C350" t="s">
        <v>1034</v>
      </c>
      <c r="D350" t="s">
        <v>1389</v>
      </c>
      <c r="E350" t="s">
        <v>1347</v>
      </c>
      <c r="F350" t="s">
        <v>1355</v>
      </c>
      <c r="G350" t="s">
        <v>1372</v>
      </c>
      <c r="H350" s="5">
        <v>34</v>
      </c>
      <c r="I350" s="9">
        <v>2499</v>
      </c>
      <c r="J350" s="9">
        <f t="shared" si="5"/>
        <v>84966</v>
      </c>
      <c r="K350" t="s">
        <v>1378</v>
      </c>
      <c r="L350" t="s">
        <v>1382</v>
      </c>
    </row>
    <row r="351" spans="1:12" x14ac:dyDescent="0.25">
      <c r="A351" s="3">
        <v>45599</v>
      </c>
      <c r="B351" t="s">
        <v>323</v>
      </c>
      <c r="C351" t="s">
        <v>1110</v>
      </c>
      <c r="D351" t="s">
        <v>1345</v>
      </c>
      <c r="E351" t="s">
        <v>1349</v>
      </c>
      <c r="F351" t="s">
        <v>1355</v>
      </c>
      <c r="G351" t="s">
        <v>1374</v>
      </c>
      <c r="H351" s="5">
        <v>32</v>
      </c>
      <c r="I351" s="9">
        <v>1499</v>
      </c>
      <c r="J351" s="9">
        <f t="shared" si="5"/>
        <v>47968</v>
      </c>
      <c r="K351" t="s">
        <v>1379</v>
      </c>
      <c r="L351" t="s">
        <v>1381</v>
      </c>
    </row>
    <row r="352" spans="1:12" x14ac:dyDescent="0.25">
      <c r="A352" s="3">
        <v>45461</v>
      </c>
      <c r="B352" t="s">
        <v>345</v>
      </c>
      <c r="C352" t="s">
        <v>1228</v>
      </c>
      <c r="D352" t="s">
        <v>1344</v>
      </c>
      <c r="E352" t="s">
        <v>1347</v>
      </c>
      <c r="F352" t="s">
        <v>1351</v>
      </c>
      <c r="G352" t="s">
        <v>1356</v>
      </c>
      <c r="H352" s="5">
        <v>2</v>
      </c>
      <c r="I352" s="9">
        <v>1878</v>
      </c>
      <c r="J352" s="9">
        <f t="shared" si="5"/>
        <v>3756</v>
      </c>
      <c r="K352" t="s">
        <v>1376</v>
      </c>
      <c r="L352" t="s">
        <v>1382</v>
      </c>
    </row>
    <row r="353" spans="1:12" x14ac:dyDescent="0.25">
      <c r="A353" s="3">
        <v>45640</v>
      </c>
      <c r="B353" t="s">
        <v>68</v>
      </c>
      <c r="C353" t="s">
        <v>1034</v>
      </c>
      <c r="D353" t="s">
        <v>1344</v>
      </c>
      <c r="E353" t="s">
        <v>1349</v>
      </c>
      <c r="F353" t="s">
        <v>1353</v>
      </c>
      <c r="G353" t="s">
        <v>1359</v>
      </c>
      <c r="H353" s="5">
        <v>19</v>
      </c>
      <c r="I353" s="9">
        <v>199</v>
      </c>
      <c r="J353" s="9">
        <f t="shared" si="5"/>
        <v>3781</v>
      </c>
      <c r="K353" t="s">
        <v>1377</v>
      </c>
      <c r="L353" t="s">
        <v>1381</v>
      </c>
    </row>
    <row r="354" spans="1:12" x14ac:dyDescent="0.25">
      <c r="A354" s="3">
        <v>45330</v>
      </c>
      <c r="B354" t="s">
        <v>77</v>
      </c>
      <c r="C354" t="s">
        <v>1082</v>
      </c>
      <c r="D354" t="s">
        <v>1389</v>
      </c>
      <c r="E354" t="s">
        <v>1349</v>
      </c>
      <c r="F354" t="s">
        <v>1353</v>
      </c>
      <c r="G354" t="s">
        <v>1367</v>
      </c>
      <c r="H354" s="5">
        <v>4</v>
      </c>
      <c r="I354" s="9">
        <v>999</v>
      </c>
      <c r="J354" s="9">
        <f t="shared" si="5"/>
        <v>3996</v>
      </c>
      <c r="K354" t="s">
        <v>1377</v>
      </c>
      <c r="L354" t="s">
        <v>1380</v>
      </c>
    </row>
    <row r="355" spans="1:12" x14ac:dyDescent="0.25">
      <c r="A355" s="3">
        <v>45548</v>
      </c>
      <c r="B355" t="s">
        <v>565</v>
      </c>
      <c r="C355" t="s">
        <v>1280</v>
      </c>
      <c r="D355" t="s">
        <v>1345</v>
      </c>
      <c r="E355" t="s">
        <v>1350</v>
      </c>
      <c r="F355" t="s">
        <v>1355</v>
      </c>
      <c r="G355" t="s">
        <v>1374</v>
      </c>
      <c r="H355" s="5">
        <v>18</v>
      </c>
      <c r="I355" s="9">
        <v>2499</v>
      </c>
      <c r="J355" s="9">
        <f t="shared" si="5"/>
        <v>44982</v>
      </c>
      <c r="K355" t="s">
        <v>1379</v>
      </c>
      <c r="L355" t="s">
        <v>1382</v>
      </c>
    </row>
    <row r="356" spans="1:12" x14ac:dyDescent="0.25">
      <c r="A356" s="3">
        <v>45518</v>
      </c>
      <c r="B356" t="s">
        <v>951</v>
      </c>
      <c r="C356" t="s">
        <v>1097</v>
      </c>
      <c r="D356" t="s">
        <v>1344</v>
      </c>
      <c r="E356" t="s">
        <v>1347</v>
      </c>
      <c r="F356" t="s">
        <v>1352</v>
      </c>
      <c r="G356" t="s">
        <v>1364</v>
      </c>
      <c r="H356" s="5">
        <v>24</v>
      </c>
      <c r="I356" s="9">
        <v>1499</v>
      </c>
      <c r="J356" s="9">
        <f t="shared" si="5"/>
        <v>35976</v>
      </c>
      <c r="K356" t="s">
        <v>1376</v>
      </c>
      <c r="L356" t="s">
        <v>1382</v>
      </c>
    </row>
    <row r="357" spans="1:12" x14ac:dyDescent="0.25">
      <c r="A357" s="3">
        <v>45423</v>
      </c>
      <c r="B357" t="s">
        <v>235</v>
      </c>
      <c r="C357" t="s">
        <v>1179</v>
      </c>
      <c r="D357" t="s">
        <v>1345</v>
      </c>
      <c r="E357" t="s">
        <v>1349</v>
      </c>
      <c r="F357" t="s">
        <v>1352</v>
      </c>
      <c r="G357" t="s">
        <v>1375</v>
      </c>
      <c r="H357" s="5">
        <v>5</v>
      </c>
      <c r="I357" s="9">
        <v>2499</v>
      </c>
      <c r="J357" s="9">
        <f t="shared" si="5"/>
        <v>12495</v>
      </c>
      <c r="K357" t="s">
        <v>1378</v>
      </c>
      <c r="L357" t="s">
        <v>1380</v>
      </c>
    </row>
    <row r="358" spans="1:12" x14ac:dyDescent="0.25">
      <c r="A358" s="3">
        <v>45642</v>
      </c>
      <c r="B358" t="s">
        <v>522</v>
      </c>
      <c r="C358" t="s">
        <v>1195</v>
      </c>
      <c r="D358" t="s">
        <v>1389</v>
      </c>
      <c r="E358" t="s">
        <v>1347</v>
      </c>
      <c r="F358" t="s">
        <v>1352</v>
      </c>
      <c r="G358" t="s">
        <v>1358</v>
      </c>
      <c r="H358" s="5">
        <v>31</v>
      </c>
      <c r="I358" s="9">
        <v>999</v>
      </c>
      <c r="J358" s="9">
        <f t="shared" si="5"/>
        <v>30969</v>
      </c>
      <c r="K358" t="s">
        <v>1378</v>
      </c>
      <c r="L358" t="s">
        <v>1382</v>
      </c>
    </row>
    <row r="359" spans="1:12" x14ac:dyDescent="0.25">
      <c r="A359" s="3">
        <v>45339</v>
      </c>
      <c r="B359" t="s">
        <v>157</v>
      </c>
      <c r="C359" t="s">
        <v>1104</v>
      </c>
      <c r="D359" t="s">
        <v>1345</v>
      </c>
      <c r="E359" t="s">
        <v>1349</v>
      </c>
      <c r="F359" t="s">
        <v>1354</v>
      </c>
      <c r="G359" t="s">
        <v>1361</v>
      </c>
      <c r="H359" s="5">
        <v>7</v>
      </c>
      <c r="I359" s="9">
        <v>999</v>
      </c>
      <c r="J359" s="9">
        <f t="shared" si="5"/>
        <v>6993</v>
      </c>
      <c r="K359" t="s">
        <v>1377</v>
      </c>
      <c r="L359" t="s">
        <v>1383</v>
      </c>
    </row>
    <row r="360" spans="1:12" x14ac:dyDescent="0.25">
      <c r="A360" s="3">
        <v>45326</v>
      </c>
      <c r="B360" t="s">
        <v>729</v>
      </c>
      <c r="C360" t="s">
        <v>1296</v>
      </c>
      <c r="D360" t="s">
        <v>1345</v>
      </c>
      <c r="E360" t="s">
        <v>1346</v>
      </c>
      <c r="F360" t="s">
        <v>1352</v>
      </c>
      <c r="G360" t="s">
        <v>1364</v>
      </c>
      <c r="H360" s="5">
        <v>12</v>
      </c>
      <c r="I360" s="9">
        <v>199</v>
      </c>
      <c r="J360" s="9">
        <f t="shared" si="5"/>
        <v>2388</v>
      </c>
      <c r="K360" t="s">
        <v>1378</v>
      </c>
      <c r="L360" t="s">
        <v>1382</v>
      </c>
    </row>
    <row r="361" spans="1:12" x14ac:dyDescent="0.25">
      <c r="A361" s="3">
        <v>45390</v>
      </c>
      <c r="B361" t="s">
        <v>228</v>
      </c>
      <c r="C361" t="s">
        <v>1169</v>
      </c>
      <c r="D361" t="s">
        <v>1389</v>
      </c>
      <c r="E361" t="s">
        <v>1346</v>
      </c>
      <c r="F361" t="s">
        <v>1355</v>
      </c>
      <c r="G361" t="s">
        <v>1372</v>
      </c>
      <c r="H361" s="5">
        <v>26</v>
      </c>
      <c r="I361" s="9">
        <v>2999</v>
      </c>
      <c r="J361" s="9">
        <f t="shared" si="5"/>
        <v>77974</v>
      </c>
      <c r="K361" t="s">
        <v>1376</v>
      </c>
      <c r="L361" t="s">
        <v>1380</v>
      </c>
    </row>
    <row r="362" spans="1:12" x14ac:dyDescent="0.25">
      <c r="A362" s="3">
        <v>45512</v>
      </c>
      <c r="B362" t="s">
        <v>564</v>
      </c>
      <c r="C362" t="s">
        <v>1203</v>
      </c>
      <c r="D362" t="s">
        <v>1345</v>
      </c>
      <c r="E362" t="s">
        <v>1347</v>
      </c>
      <c r="F362" t="s">
        <v>1354</v>
      </c>
      <c r="G362" t="s">
        <v>1362</v>
      </c>
      <c r="H362" s="5">
        <v>38</v>
      </c>
      <c r="I362" s="9">
        <v>1499</v>
      </c>
      <c r="J362" s="9">
        <f t="shared" si="5"/>
        <v>56962</v>
      </c>
      <c r="K362" t="s">
        <v>1379</v>
      </c>
      <c r="L362" t="s">
        <v>1380</v>
      </c>
    </row>
    <row r="363" spans="1:12" x14ac:dyDescent="0.25">
      <c r="A363" s="3">
        <v>45640</v>
      </c>
      <c r="B363" t="s">
        <v>427</v>
      </c>
      <c r="C363" t="s">
        <v>1066</v>
      </c>
      <c r="D363" t="s">
        <v>1344</v>
      </c>
      <c r="E363" t="s">
        <v>1347</v>
      </c>
      <c r="F363" t="s">
        <v>1353</v>
      </c>
      <c r="G363" t="s">
        <v>1367</v>
      </c>
      <c r="H363" s="5">
        <v>38</v>
      </c>
      <c r="I363" s="9">
        <v>3499</v>
      </c>
      <c r="J363" s="9">
        <f t="shared" si="5"/>
        <v>132962</v>
      </c>
      <c r="K363" t="s">
        <v>1376</v>
      </c>
      <c r="L363" t="s">
        <v>1382</v>
      </c>
    </row>
    <row r="364" spans="1:12" x14ac:dyDescent="0.25">
      <c r="A364" s="3">
        <v>45564</v>
      </c>
      <c r="B364" t="s">
        <v>893</v>
      </c>
      <c r="C364" t="s">
        <v>1335</v>
      </c>
      <c r="D364" t="s">
        <v>1344</v>
      </c>
      <c r="E364" t="s">
        <v>1346</v>
      </c>
      <c r="F364" t="s">
        <v>1354</v>
      </c>
      <c r="G364" t="s">
        <v>1363</v>
      </c>
      <c r="H364" s="5">
        <v>49</v>
      </c>
      <c r="I364" s="9">
        <v>2499</v>
      </c>
      <c r="J364" s="9">
        <f t="shared" si="5"/>
        <v>122451</v>
      </c>
      <c r="K364" t="s">
        <v>1377</v>
      </c>
      <c r="L364" t="s">
        <v>1382</v>
      </c>
    </row>
    <row r="365" spans="1:12" x14ac:dyDescent="0.25">
      <c r="A365" s="3">
        <v>45479</v>
      </c>
      <c r="B365" t="s">
        <v>74</v>
      </c>
      <c r="C365" t="s">
        <v>1079</v>
      </c>
      <c r="D365" t="s">
        <v>1344</v>
      </c>
      <c r="E365" t="s">
        <v>1347</v>
      </c>
      <c r="F365" t="s">
        <v>1352</v>
      </c>
      <c r="G365" t="s">
        <v>1375</v>
      </c>
      <c r="H365" s="5">
        <v>4</v>
      </c>
      <c r="I365" s="9">
        <v>1499</v>
      </c>
      <c r="J365" s="9">
        <f t="shared" si="5"/>
        <v>5996</v>
      </c>
      <c r="K365" t="s">
        <v>1378</v>
      </c>
      <c r="L365" t="s">
        <v>1382</v>
      </c>
    </row>
    <row r="366" spans="1:12" x14ac:dyDescent="0.25">
      <c r="A366" s="3">
        <v>45327</v>
      </c>
      <c r="B366" t="s">
        <v>706</v>
      </c>
      <c r="C366" t="s">
        <v>1319</v>
      </c>
      <c r="D366" t="s">
        <v>1345</v>
      </c>
      <c r="E366" t="s">
        <v>1348</v>
      </c>
      <c r="F366" t="s">
        <v>1353</v>
      </c>
      <c r="G366" t="s">
        <v>1359</v>
      </c>
      <c r="H366" s="5">
        <v>32</v>
      </c>
      <c r="I366" s="9">
        <v>199</v>
      </c>
      <c r="J366" s="9">
        <f t="shared" si="5"/>
        <v>6368</v>
      </c>
      <c r="K366" t="s">
        <v>1378</v>
      </c>
      <c r="L366" t="s">
        <v>1382</v>
      </c>
    </row>
    <row r="367" spans="1:12" x14ac:dyDescent="0.25">
      <c r="A367" s="3">
        <v>45415</v>
      </c>
      <c r="B367" t="s">
        <v>413</v>
      </c>
      <c r="C367" t="s">
        <v>1256</v>
      </c>
      <c r="D367" t="s">
        <v>1344</v>
      </c>
      <c r="E367" t="s">
        <v>1349</v>
      </c>
      <c r="F367" t="s">
        <v>1351</v>
      </c>
      <c r="G367" t="s">
        <v>1370</v>
      </c>
      <c r="H367" s="5">
        <v>2</v>
      </c>
      <c r="I367" s="9">
        <v>1999</v>
      </c>
      <c r="J367" s="9">
        <f t="shared" si="5"/>
        <v>3998</v>
      </c>
      <c r="K367" t="s">
        <v>1378</v>
      </c>
      <c r="L367" t="s">
        <v>1381</v>
      </c>
    </row>
    <row r="368" spans="1:12" x14ac:dyDescent="0.25">
      <c r="A368" s="3">
        <v>45345</v>
      </c>
      <c r="B368" t="s">
        <v>894</v>
      </c>
      <c r="C368" t="s">
        <v>1057</v>
      </c>
      <c r="D368" t="s">
        <v>1344</v>
      </c>
      <c r="E368" t="s">
        <v>1347</v>
      </c>
      <c r="F368" t="s">
        <v>1351</v>
      </c>
      <c r="G368" t="s">
        <v>1371</v>
      </c>
      <c r="H368" s="5">
        <v>19</v>
      </c>
      <c r="I368" s="9">
        <v>3499</v>
      </c>
      <c r="J368" s="9">
        <f t="shared" si="5"/>
        <v>66481</v>
      </c>
      <c r="K368" t="s">
        <v>1376</v>
      </c>
      <c r="L368" t="s">
        <v>1380</v>
      </c>
    </row>
    <row r="369" spans="1:12" x14ac:dyDescent="0.25">
      <c r="A369" s="3">
        <v>45413</v>
      </c>
      <c r="B369" t="s">
        <v>749</v>
      </c>
      <c r="C369" t="s">
        <v>1314</v>
      </c>
      <c r="D369" t="s">
        <v>1344</v>
      </c>
      <c r="E369" t="s">
        <v>1346</v>
      </c>
      <c r="F369" t="s">
        <v>1351</v>
      </c>
      <c r="G369" t="s">
        <v>1371</v>
      </c>
      <c r="H369" s="5">
        <v>21</v>
      </c>
      <c r="I369" s="9">
        <v>1999</v>
      </c>
      <c r="J369" s="9">
        <f t="shared" si="5"/>
        <v>41979</v>
      </c>
      <c r="K369" t="s">
        <v>1379</v>
      </c>
      <c r="L369" t="s">
        <v>1382</v>
      </c>
    </row>
    <row r="370" spans="1:12" x14ac:dyDescent="0.25">
      <c r="A370" s="3">
        <v>45530</v>
      </c>
      <c r="B370" t="s">
        <v>944</v>
      </c>
      <c r="C370" t="s">
        <v>1042</v>
      </c>
      <c r="D370" t="s">
        <v>1345</v>
      </c>
      <c r="E370" t="s">
        <v>1346</v>
      </c>
      <c r="F370" t="s">
        <v>1353</v>
      </c>
      <c r="G370" t="s">
        <v>1359</v>
      </c>
      <c r="H370" s="5">
        <v>2</v>
      </c>
      <c r="I370" s="9">
        <v>1845</v>
      </c>
      <c r="J370" s="9">
        <f t="shared" si="5"/>
        <v>3690</v>
      </c>
      <c r="K370" t="s">
        <v>1377</v>
      </c>
      <c r="L370" t="s">
        <v>1382</v>
      </c>
    </row>
    <row r="371" spans="1:12" x14ac:dyDescent="0.25">
      <c r="A371" s="3">
        <v>45622</v>
      </c>
      <c r="B371" t="s">
        <v>455</v>
      </c>
      <c r="C371" t="s">
        <v>1119</v>
      </c>
      <c r="D371" t="s">
        <v>1389</v>
      </c>
      <c r="E371" t="s">
        <v>1349</v>
      </c>
      <c r="F371" t="s">
        <v>1354</v>
      </c>
      <c r="G371" t="s">
        <v>1361</v>
      </c>
      <c r="H371" s="5">
        <v>48</v>
      </c>
      <c r="I371" s="9">
        <v>2499</v>
      </c>
      <c r="J371" s="9">
        <f t="shared" si="5"/>
        <v>119952</v>
      </c>
      <c r="K371" t="s">
        <v>1379</v>
      </c>
      <c r="L371" t="s">
        <v>1382</v>
      </c>
    </row>
    <row r="372" spans="1:12" x14ac:dyDescent="0.25">
      <c r="A372" s="3">
        <v>45424</v>
      </c>
      <c r="B372" t="s">
        <v>593</v>
      </c>
      <c r="C372" t="s">
        <v>1148</v>
      </c>
      <c r="D372" t="s">
        <v>1344</v>
      </c>
      <c r="E372" t="s">
        <v>1346</v>
      </c>
      <c r="F372" t="s">
        <v>1352</v>
      </c>
      <c r="G372" t="s">
        <v>1358</v>
      </c>
      <c r="H372" s="5">
        <v>29</v>
      </c>
      <c r="I372" s="9">
        <v>1499</v>
      </c>
      <c r="J372" s="9">
        <f t="shared" si="5"/>
        <v>43471</v>
      </c>
      <c r="K372" t="s">
        <v>1379</v>
      </c>
      <c r="L372" t="s">
        <v>1382</v>
      </c>
    </row>
    <row r="373" spans="1:12" x14ac:dyDescent="0.25">
      <c r="A373" s="3">
        <v>45571</v>
      </c>
      <c r="B373" t="s">
        <v>346</v>
      </c>
      <c r="C373" t="s">
        <v>1079</v>
      </c>
      <c r="D373" t="s">
        <v>1389</v>
      </c>
      <c r="E373" t="s">
        <v>1350</v>
      </c>
      <c r="F373" t="s">
        <v>1353</v>
      </c>
      <c r="G373" t="s">
        <v>1369</v>
      </c>
      <c r="H373" s="5">
        <v>10</v>
      </c>
      <c r="I373" s="9">
        <v>2999</v>
      </c>
      <c r="J373" s="9">
        <f t="shared" si="5"/>
        <v>29990</v>
      </c>
      <c r="K373" t="s">
        <v>1379</v>
      </c>
      <c r="L373" t="s">
        <v>1382</v>
      </c>
    </row>
    <row r="374" spans="1:12" x14ac:dyDescent="0.25">
      <c r="A374" s="3">
        <v>45590</v>
      </c>
      <c r="B374" t="s">
        <v>377</v>
      </c>
      <c r="C374" t="s">
        <v>1212</v>
      </c>
      <c r="D374" t="s">
        <v>1389</v>
      </c>
      <c r="E374" t="s">
        <v>1349</v>
      </c>
      <c r="F374" t="s">
        <v>1352</v>
      </c>
      <c r="G374" t="s">
        <v>1364</v>
      </c>
      <c r="H374" s="5">
        <v>49</v>
      </c>
      <c r="I374" s="9">
        <v>3499</v>
      </c>
      <c r="J374" s="9">
        <f t="shared" si="5"/>
        <v>171451</v>
      </c>
      <c r="K374" t="s">
        <v>1377</v>
      </c>
      <c r="L374" t="s">
        <v>1382</v>
      </c>
    </row>
    <row r="375" spans="1:12" x14ac:dyDescent="0.25">
      <c r="A375" s="3">
        <v>45403</v>
      </c>
      <c r="B375" t="s">
        <v>130</v>
      </c>
      <c r="C375" t="s">
        <v>1062</v>
      </c>
      <c r="D375" t="s">
        <v>1344</v>
      </c>
      <c r="E375" t="s">
        <v>1349</v>
      </c>
      <c r="F375" t="s">
        <v>1352</v>
      </c>
      <c r="G375" t="s">
        <v>1375</v>
      </c>
      <c r="H375" s="5">
        <v>45</v>
      </c>
      <c r="I375" s="9">
        <v>3499</v>
      </c>
      <c r="J375" s="9">
        <f t="shared" si="5"/>
        <v>157455</v>
      </c>
      <c r="K375" t="s">
        <v>1379</v>
      </c>
      <c r="L375" t="s">
        <v>1383</v>
      </c>
    </row>
    <row r="376" spans="1:12" x14ac:dyDescent="0.25">
      <c r="A376" s="3">
        <v>45371</v>
      </c>
      <c r="B376" t="s">
        <v>349</v>
      </c>
      <c r="C376" t="s">
        <v>1230</v>
      </c>
      <c r="D376" t="s">
        <v>1344</v>
      </c>
      <c r="E376" t="s">
        <v>1348</v>
      </c>
      <c r="F376" t="s">
        <v>1354</v>
      </c>
      <c r="G376" t="s">
        <v>1366</v>
      </c>
      <c r="H376" s="5">
        <v>39</v>
      </c>
      <c r="I376" s="9">
        <v>2999</v>
      </c>
      <c r="J376" s="9">
        <f t="shared" si="5"/>
        <v>116961</v>
      </c>
      <c r="K376" t="s">
        <v>1379</v>
      </c>
      <c r="L376" t="s">
        <v>1384</v>
      </c>
    </row>
    <row r="377" spans="1:12" x14ac:dyDescent="0.25">
      <c r="A377" s="3">
        <v>45527</v>
      </c>
      <c r="B377" t="s">
        <v>661</v>
      </c>
      <c r="C377" t="s">
        <v>1090</v>
      </c>
      <c r="D377" t="s">
        <v>1345</v>
      </c>
      <c r="E377" t="s">
        <v>1347</v>
      </c>
      <c r="F377" t="s">
        <v>1353</v>
      </c>
      <c r="G377" t="s">
        <v>1365</v>
      </c>
      <c r="H377" s="5">
        <v>41</v>
      </c>
      <c r="I377" s="9">
        <v>1999</v>
      </c>
      <c r="J377" s="9">
        <f t="shared" si="5"/>
        <v>81959</v>
      </c>
      <c r="K377" t="s">
        <v>1377</v>
      </c>
      <c r="L377" t="s">
        <v>1380</v>
      </c>
    </row>
    <row r="378" spans="1:12" x14ac:dyDescent="0.25">
      <c r="A378" s="3">
        <v>45387</v>
      </c>
      <c r="B378" t="s">
        <v>892</v>
      </c>
      <c r="C378" t="s">
        <v>1072</v>
      </c>
      <c r="D378" t="s">
        <v>1344</v>
      </c>
      <c r="E378" t="s">
        <v>1350</v>
      </c>
      <c r="F378" t="s">
        <v>1354</v>
      </c>
      <c r="G378" t="s">
        <v>1366</v>
      </c>
      <c r="H378" s="5">
        <v>46</v>
      </c>
      <c r="I378" s="9">
        <v>1499</v>
      </c>
      <c r="J378" s="9">
        <f t="shared" si="5"/>
        <v>68954</v>
      </c>
      <c r="K378" t="s">
        <v>1379</v>
      </c>
      <c r="L378" t="s">
        <v>1384</v>
      </c>
    </row>
    <row r="379" spans="1:12" x14ac:dyDescent="0.25">
      <c r="A379" s="3">
        <v>45407</v>
      </c>
      <c r="B379" t="s">
        <v>753</v>
      </c>
      <c r="C379" t="s">
        <v>1204</v>
      </c>
      <c r="D379" t="s">
        <v>1389</v>
      </c>
      <c r="E379" t="s">
        <v>1347</v>
      </c>
      <c r="F379" t="s">
        <v>1353</v>
      </c>
      <c r="G379" t="s">
        <v>1359</v>
      </c>
      <c r="H379" s="5">
        <v>33</v>
      </c>
      <c r="I379" s="9">
        <v>1499</v>
      </c>
      <c r="J379" s="9">
        <f t="shared" si="5"/>
        <v>49467</v>
      </c>
      <c r="K379" t="s">
        <v>1376</v>
      </c>
      <c r="L379" t="s">
        <v>1382</v>
      </c>
    </row>
    <row r="380" spans="1:12" x14ac:dyDescent="0.25">
      <c r="A380" s="3">
        <v>45342</v>
      </c>
      <c r="B380" t="s">
        <v>532</v>
      </c>
      <c r="C380" t="s">
        <v>1149</v>
      </c>
      <c r="D380" t="s">
        <v>1344</v>
      </c>
      <c r="E380" t="s">
        <v>1349</v>
      </c>
      <c r="F380" t="s">
        <v>1352</v>
      </c>
      <c r="G380" t="s">
        <v>1364</v>
      </c>
      <c r="H380" s="5">
        <v>8</v>
      </c>
      <c r="I380" s="9">
        <v>999</v>
      </c>
      <c r="J380" s="9">
        <f t="shared" si="5"/>
        <v>7992</v>
      </c>
      <c r="K380" t="s">
        <v>1377</v>
      </c>
      <c r="L380" t="s">
        <v>1384</v>
      </c>
    </row>
    <row r="381" spans="1:12" x14ac:dyDescent="0.25">
      <c r="A381" s="3">
        <v>45472</v>
      </c>
      <c r="B381" t="s">
        <v>611</v>
      </c>
      <c r="C381" t="s">
        <v>1086</v>
      </c>
      <c r="D381" t="s">
        <v>1389</v>
      </c>
      <c r="E381" t="s">
        <v>1349</v>
      </c>
      <c r="F381" t="s">
        <v>1351</v>
      </c>
      <c r="G381" t="s">
        <v>1357</v>
      </c>
      <c r="H381" s="5">
        <v>15</v>
      </c>
      <c r="I381" s="9">
        <v>999</v>
      </c>
      <c r="J381" s="9">
        <f t="shared" si="5"/>
        <v>14985</v>
      </c>
      <c r="K381" t="s">
        <v>1379</v>
      </c>
      <c r="L381" t="s">
        <v>1382</v>
      </c>
    </row>
    <row r="382" spans="1:12" x14ac:dyDescent="0.25">
      <c r="A382" s="3">
        <v>45481</v>
      </c>
      <c r="B382" t="s">
        <v>216</v>
      </c>
      <c r="C382" t="s">
        <v>1086</v>
      </c>
      <c r="D382" t="s">
        <v>1345</v>
      </c>
      <c r="E382" t="s">
        <v>1349</v>
      </c>
      <c r="F382" t="s">
        <v>1351</v>
      </c>
      <c r="G382" t="s">
        <v>1357</v>
      </c>
      <c r="H382" s="5">
        <v>38</v>
      </c>
      <c r="I382" s="9">
        <v>499</v>
      </c>
      <c r="J382" s="9">
        <f t="shared" si="5"/>
        <v>18962</v>
      </c>
      <c r="K382" t="s">
        <v>1379</v>
      </c>
      <c r="L382" t="s">
        <v>1381</v>
      </c>
    </row>
    <row r="383" spans="1:12" x14ac:dyDescent="0.25">
      <c r="A383" s="3">
        <v>45613</v>
      </c>
      <c r="B383" t="s">
        <v>677</v>
      </c>
      <c r="C383" t="s">
        <v>1176</v>
      </c>
      <c r="D383" t="s">
        <v>1344</v>
      </c>
      <c r="E383" t="s">
        <v>1349</v>
      </c>
      <c r="F383" t="s">
        <v>1352</v>
      </c>
      <c r="G383" t="s">
        <v>1375</v>
      </c>
      <c r="H383" s="5">
        <v>35</v>
      </c>
      <c r="I383" s="9">
        <v>999</v>
      </c>
      <c r="J383" s="9">
        <f t="shared" si="5"/>
        <v>34965</v>
      </c>
      <c r="K383" t="s">
        <v>1379</v>
      </c>
      <c r="L383" t="s">
        <v>1384</v>
      </c>
    </row>
    <row r="384" spans="1:12" x14ac:dyDescent="0.25">
      <c r="A384" s="3">
        <v>45632</v>
      </c>
      <c r="B384" t="s">
        <v>649</v>
      </c>
      <c r="C384" t="s">
        <v>1223</v>
      </c>
      <c r="D384" t="s">
        <v>1345</v>
      </c>
      <c r="E384" t="s">
        <v>1347</v>
      </c>
      <c r="F384" t="s">
        <v>1353</v>
      </c>
      <c r="G384" t="s">
        <v>1359</v>
      </c>
      <c r="H384" s="5">
        <v>36</v>
      </c>
      <c r="I384" s="9">
        <v>2999</v>
      </c>
      <c r="J384" s="9">
        <f t="shared" si="5"/>
        <v>107964</v>
      </c>
      <c r="K384" t="s">
        <v>1379</v>
      </c>
      <c r="L384" t="s">
        <v>1381</v>
      </c>
    </row>
    <row r="385" spans="1:12" x14ac:dyDescent="0.25">
      <c r="A385" s="3">
        <v>45639</v>
      </c>
      <c r="B385" t="s">
        <v>260</v>
      </c>
      <c r="C385" t="s">
        <v>1100</v>
      </c>
      <c r="D385" t="s">
        <v>1345</v>
      </c>
      <c r="E385" t="s">
        <v>1347</v>
      </c>
      <c r="F385" t="s">
        <v>1352</v>
      </c>
      <c r="G385" t="s">
        <v>1368</v>
      </c>
      <c r="H385" s="5">
        <v>20</v>
      </c>
      <c r="I385" s="9">
        <v>3499</v>
      </c>
      <c r="J385" s="9">
        <f t="shared" si="5"/>
        <v>69980</v>
      </c>
      <c r="K385" t="s">
        <v>1377</v>
      </c>
      <c r="L385" t="s">
        <v>1380</v>
      </c>
    </row>
    <row r="386" spans="1:12" x14ac:dyDescent="0.25">
      <c r="A386" s="3">
        <v>45543</v>
      </c>
      <c r="B386" t="s">
        <v>781</v>
      </c>
      <c r="C386" t="s">
        <v>1203</v>
      </c>
      <c r="D386" t="s">
        <v>1345</v>
      </c>
      <c r="E386" t="s">
        <v>1349</v>
      </c>
      <c r="F386" t="s">
        <v>1351</v>
      </c>
      <c r="G386" t="s">
        <v>1370</v>
      </c>
      <c r="H386" s="5">
        <v>16</v>
      </c>
      <c r="I386" s="9">
        <v>1499</v>
      </c>
      <c r="J386" s="9">
        <f t="shared" ref="J386:J449" si="6">H386*I386</f>
        <v>23984</v>
      </c>
      <c r="K386" t="s">
        <v>1379</v>
      </c>
      <c r="L386" t="s">
        <v>1383</v>
      </c>
    </row>
    <row r="387" spans="1:12" x14ac:dyDescent="0.25">
      <c r="A387" s="3">
        <v>45609</v>
      </c>
      <c r="B387" t="s">
        <v>838</v>
      </c>
      <c r="C387" t="s">
        <v>1104</v>
      </c>
      <c r="D387" t="s">
        <v>1344</v>
      </c>
      <c r="E387" t="s">
        <v>1349</v>
      </c>
      <c r="F387" t="s">
        <v>1351</v>
      </c>
      <c r="G387" t="s">
        <v>1371</v>
      </c>
      <c r="H387" s="5">
        <v>40</v>
      </c>
      <c r="I387" s="9">
        <v>3499</v>
      </c>
      <c r="J387" s="9">
        <f t="shared" si="6"/>
        <v>139960</v>
      </c>
      <c r="K387" t="s">
        <v>1379</v>
      </c>
      <c r="L387" t="s">
        <v>1381</v>
      </c>
    </row>
    <row r="388" spans="1:12" x14ac:dyDescent="0.25">
      <c r="A388" s="3">
        <v>45461</v>
      </c>
      <c r="B388" t="s">
        <v>1014</v>
      </c>
      <c r="C388" t="s">
        <v>1276</v>
      </c>
      <c r="D388" t="s">
        <v>1344</v>
      </c>
      <c r="E388" t="s">
        <v>1348</v>
      </c>
      <c r="F388" t="s">
        <v>1353</v>
      </c>
      <c r="G388" t="s">
        <v>1359</v>
      </c>
      <c r="H388" s="5">
        <v>3</v>
      </c>
      <c r="I388" s="9">
        <v>999</v>
      </c>
      <c r="J388" s="9">
        <f t="shared" si="6"/>
        <v>2997</v>
      </c>
      <c r="K388" t="s">
        <v>1378</v>
      </c>
      <c r="L388" t="s">
        <v>1382</v>
      </c>
    </row>
    <row r="389" spans="1:12" x14ac:dyDescent="0.25">
      <c r="A389" s="3">
        <v>45520</v>
      </c>
      <c r="B389" t="s">
        <v>388</v>
      </c>
      <c r="C389" t="s">
        <v>1246</v>
      </c>
      <c r="D389" t="s">
        <v>1344</v>
      </c>
      <c r="E389" t="s">
        <v>1349</v>
      </c>
      <c r="F389" t="s">
        <v>1352</v>
      </c>
      <c r="G389" t="s">
        <v>1375</v>
      </c>
      <c r="H389" s="5">
        <v>17</v>
      </c>
      <c r="I389" s="9">
        <v>3499</v>
      </c>
      <c r="J389" s="9">
        <f t="shared" si="6"/>
        <v>59483</v>
      </c>
      <c r="K389" t="s">
        <v>1379</v>
      </c>
      <c r="L389" t="s">
        <v>1383</v>
      </c>
    </row>
    <row r="390" spans="1:12" x14ac:dyDescent="0.25">
      <c r="A390" s="3">
        <v>45342</v>
      </c>
      <c r="B390" t="s">
        <v>932</v>
      </c>
      <c r="C390" t="s">
        <v>1244</v>
      </c>
      <c r="D390" t="s">
        <v>1344</v>
      </c>
      <c r="E390" t="s">
        <v>1349</v>
      </c>
      <c r="F390" t="s">
        <v>1355</v>
      </c>
      <c r="G390" t="s">
        <v>1373</v>
      </c>
      <c r="H390" s="5">
        <v>31</v>
      </c>
      <c r="I390" s="9">
        <v>999</v>
      </c>
      <c r="J390" s="9">
        <f t="shared" si="6"/>
        <v>30969</v>
      </c>
      <c r="K390" t="s">
        <v>1379</v>
      </c>
      <c r="L390" t="s">
        <v>1384</v>
      </c>
    </row>
    <row r="391" spans="1:12" x14ac:dyDescent="0.25">
      <c r="A391" s="3">
        <v>45498</v>
      </c>
      <c r="B391" t="s">
        <v>212</v>
      </c>
      <c r="C391" t="s">
        <v>1167</v>
      </c>
      <c r="D391" t="s">
        <v>1389</v>
      </c>
      <c r="E391" t="s">
        <v>1349</v>
      </c>
      <c r="F391" t="s">
        <v>1352</v>
      </c>
      <c r="G391" t="s">
        <v>1358</v>
      </c>
      <c r="H391" s="5">
        <v>22</v>
      </c>
      <c r="I391" s="9">
        <v>2499</v>
      </c>
      <c r="J391" s="9">
        <f t="shared" si="6"/>
        <v>54978</v>
      </c>
      <c r="K391" t="s">
        <v>1377</v>
      </c>
      <c r="L391" t="s">
        <v>1382</v>
      </c>
    </row>
    <row r="392" spans="1:12" x14ac:dyDescent="0.25">
      <c r="A392" s="3">
        <v>45579</v>
      </c>
      <c r="B392" t="s">
        <v>196</v>
      </c>
      <c r="C392" t="s">
        <v>1158</v>
      </c>
      <c r="D392" t="s">
        <v>1344</v>
      </c>
      <c r="E392" t="s">
        <v>1347</v>
      </c>
      <c r="F392" t="s">
        <v>1354</v>
      </c>
      <c r="G392" t="s">
        <v>1361</v>
      </c>
      <c r="H392" s="5">
        <v>23</v>
      </c>
      <c r="I392" s="9">
        <v>499</v>
      </c>
      <c r="J392" s="9">
        <f t="shared" si="6"/>
        <v>11477</v>
      </c>
      <c r="K392" t="s">
        <v>1377</v>
      </c>
      <c r="L392" t="s">
        <v>1382</v>
      </c>
    </row>
    <row r="393" spans="1:12" x14ac:dyDescent="0.25">
      <c r="A393" s="3">
        <v>45521</v>
      </c>
      <c r="B393" t="s">
        <v>816</v>
      </c>
      <c r="C393" t="s">
        <v>1246</v>
      </c>
      <c r="D393" t="s">
        <v>1344</v>
      </c>
      <c r="E393" t="s">
        <v>1349</v>
      </c>
      <c r="F393" t="s">
        <v>1351</v>
      </c>
      <c r="G393" t="s">
        <v>1356</v>
      </c>
      <c r="H393" s="5">
        <v>43</v>
      </c>
      <c r="I393" s="9">
        <v>1878</v>
      </c>
      <c r="J393" s="9">
        <f t="shared" si="6"/>
        <v>80754</v>
      </c>
      <c r="K393" t="s">
        <v>1379</v>
      </c>
      <c r="L393" t="s">
        <v>1384</v>
      </c>
    </row>
    <row r="394" spans="1:12" x14ac:dyDescent="0.25">
      <c r="A394" s="3">
        <v>45396</v>
      </c>
      <c r="B394" t="s">
        <v>621</v>
      </c>
      <c r="C394" t="s">
        <v>1052</v>
      </c>
      <c r="D394" t="s">
        <v>1344</v>
      </c>
      <c r="E394" t="s">
        <v>1350</v>
      </c>
      <c r="F394" t="s">
        <v>1353</v>
      </c>
      <c r="G394" t="s">
        <v>1367</v>
      </c>
      <c r="H394" s="5">
        <v>3</v>
      </c>
      <c r="I394" s="9">
        <v>499</v>
      </c>
      <c r="J394" s="9">
        <f t="shared" si="6"/>
        <v>1497</v>
      </c>
      <c r="K394" t="s">
        <v>1376</v>
      </c>
      <c r="L394" t="s">
        <v>1380</v>
      </c>
    </row>
    <row r="395" spans="1:12" x14ac:dyDescent="0.25">
      <c r="A395" s="3">
        <v>45575</v>
      </c>
      <c r="B395" t="s">
        <v>650</v>
      </c>
      <c r="C395" t="s">
        <v>1138</v>
      </c>
      <c r="D395" t="s">
        <v>1344</v>
      </c>
      <c r="E395" t="s">
        <v>1347</v>
      </c>
      <c r="F395" t="s">
        <v>1351</v>
      </c>
      <c r="G395" t="s">
        <v>1357</v>
      </c>
      <c r="H395" s="5">
        <v>23</v>
      </c>
      <c r="I395" s="9">
        <v>2499</v>
      </c>
      <c r="J395" s="9">
        <f t="shared" si="6"/>
        <v>57477</v>
      </c>
      <c r="K395" t="s">
        <v>1379</v>
      </c>
      <c r="L395" t="s">
        <v>1381</v>
      </c>
    </row>
    <row r="396" spans="1:12" x14ac:dyDescent="0.25">
      <c r="A396" s="3">
        <v>45454</v>
      </c>
      <c r="B396" t="s">
        <v>211</v>
      </c>
      <c r="C396" t="s">
        <v>1166</v>
      </c>
      <c r="D396" t="s">
        <v>1389</v>
      </c>
      <c r="E396" t="s">
        <v>1346</v>
      </c>
      <c r="F396" t="s">
        <v>1353</v>
      </c>
      <c r="G396" t="s">
        <v>1365</v>
      </c>
      <c r="H396" s="5">
        <v>2</v>
      </c>
      <c r="I396" s="9">
        <v>3499</v>
      </c>
      <c r="J396" s="9">
        <f t="shared" si="6"/>
        <v>6998</v>
      </c>
      <c r="K396" t="s">
        <v>1379</v>
      </c>
      <c r="L396" t="s">
        <v>1382</v>
      </c>
    </row>
    <row r="397" spans="1:12" x14ac:dyDescent="0.25">
      <c r="A397" s="3">
        <v>45617</v>
      </c>
      <c r="B397" t="s">
        <v>410</v>
      </c>
      <c r="C397" t="s">
        <v>1255</v>
      </c>
      <c r="D397" t="s">
        <v>1344</v>
      </c>
      <c r="E397" t="s">
        <v>1349</v>
      </c>
      <c r="F397" t="s">
        <v>1355</v>
      </c>
      <c r="G397" t="s">
        <v>1360</v>
      </c>
      <c r="H397" s="5">
        <v>37</v>
      </c>
      <c r="I397" s="9">
        <v>1499</v>
      </c>
      <c r="J397" s="9">
        <f t="shared" si="6"/>
        <v>55463</v>
      </c>
      <c r="K397" t="s">
        <v>1379</v>
      </c>
      <c r="L397" t="s">
        <v>1381</v>
      </c>
    </row>
    <row r="398" spans="1:12" x14ac:dyDescent="0.25">
      <c r="A398" s="3">
        <v>45301</v>
      </c>
      <c r="B398" t="s">
        <v>57</v>
      </c>
      <c r="C398" t="s">
        <v>1065</v>
      </c>
      <c r="D398" t="s">
        <v>1389</v>
      </c>
      <c r="E398" t="s">
        <v>1346</v>
      </c>
      <c r="F398" t="s">
        <v>1352</v>
      </c>
      <c r="G398" t="s">
        <v>1358</v>
      </c>
      <c r="H398" s="5">
        <v>25</v>
      </c>
      <c r="I398" s="9">
        <v>199</v>
      </c>
      <c r="J398" s="9">
        <f t="shared" si="6"/>
        <v>4975</v>
      </c>
      <c r="K398" t="s">
        <v>1379</v>
      </c>
      <c r="L398" t="s">
        <v>1380</v>
      </c>
    </row>
    <row r="399" spans="1:12" x14ac:dyDescent="0.25">
      <c r="A399" s="3">
        <v>45631</v>
      </c>
      <c r="B399" t="s">
        <v>647</v>
      </c>
      <c r="C399" t="s">
        <v>1071</v>
      </c>
      <c r="D399" t="s">
        <v>1344</v>
      </c>
      <c r="E399" t="s">
        <v>1349</v>
      </c>
      <c r="F399" t="s">
        <v>1354</v>
      </c>
      <c r="G399" t="s">
        <v>1361</v>
      </c>
      <c r="H399" s="5">
        <v>40</v>
      </c>
      <c r="I399" s="9">
        <v>1999</v>
      </c>
      <c r="J399" s="9">
        <f t="shared" si="6"/>
        <v>79960</v>
      </c>
      <c r="K399" t="s">
        <v>1379</v>
      </c>
      <c r="L399" t="s">
        <v>1382</v>
      </c>
    </row>
    <row r="400" spans="1:12" x14ac:dyDescent="0.25">
      <c r="A400" s="3">
        <v>45465</v>
      </c>
      <c r="B400" t="s">
        <v>365</v>
      </c>
      <c r="C400" t="s">
        <v>1169</v>
      </c>
      <c r="D400" t="s">
        <v>1345</v>
      </c>
      <c r="E400" t="s">
        <v>1349</v>
      </c>
      <c r="F400" t="s">
        <v>1352</v>
      </c>
      <c r="G400" t="s">
        <v>1368</v>
      </c>
      <c r="H400" s="5">
        <v>41</v>
      </c>
      <c r="I400" s="9">
        <v>1624</v>
      </c>
      <c r="J400" s="9">
        <f t="shared" si="6"/>
        <v>66584</v>
      </c>
      <c r="K400" t="s">
        <v>1377</v>
      </c>
      <c r="L400" t="s">
        <v>1382</v>
      </c>
    </row>
    <row r="401" spans="1:12" x14ac:dyDescent="0.25">
      <c r="A401" s="3">
        <v>45474</v>
      </c>
      <c r="B401" t="s">
        <v>657</v>
      </c>
      <c r="C401" t="s">
        <v>1237</v>
      </c>
      <c r="D401" t="s">
        <v>1344</v>
      </c>
      <c r="E401" t="s">
        <v>1349</v>
      </c>
      <c r="F401" t="s">
        <v>1353</v>
      </c>
      <c r="G401" t="s">
        <v>1359</v>
      </c>
      <c r="H401" s="5">
        <v>4</v>
      </c>
      <c r="I401" s="9">
        <v>499</v>
      </c>
      <c r="J401" s="9">
        <f t="shared" si="6"/>
        <v>1996</v>
      </c>
      <c r="K401" t="s">
        <v>1376</v>
      </c>
      <c r="L401" t="s">
        <v>1380</v>
      </c>
    </row>
    <row r="402" spans="1:12" x14ac:dyDescent="0.25">
      <c r="A402" s="3">
        <v>45640</v>
      </c>
      <c r="B402" t="s">
        <v>445</v>
      </c>
      <c r="C402" t="s">
        <v>1097</v>
      </c>
      <c r="D402" t="s">
        <v>1345</v>
      </c>
      <c r="E402" t="s">
        <v>1347</v>
      </c>
      <c r="F402" t="s">
        <v>1353</v>
      </c>
      <c r="G402" t="s">
        <v>1367</v>
      </c>
      <c r="H402" s="5">
        <v>11</v>
      </c>
      <c r="I402" s="9">
        <v>2499</v>
      </c>
      <c r="J402" s="9">
        <f t="shared" si="6"/>
        <v>27489</v>
      </c>
      <c r="K402" t="s">
        <v>1379</v>
      </c>
      <c r="L402" t="s">
        <v>1382</v>
      </c>
    </row>
    <row r="403" spans="1:12" x14ac:dyDescent="0.25">
      <c r="A403" s="3">
        <v>45566</v>
      </c>
      <c r="B403" t="s">
        <v>395</v>
      </c>
      <c r="C403" t="s">
        <v>1248</v>
      </c>
      <c r="D403" t="s">
        <v>1344</v>
      </c>
      <c r="E403" t="s">
        <v>1349</v>
      </c>
      <c r="F403" t="s">
        <v>1354</v>
      </c>
      <c r="G403" t="s">
        <v>1362</v>
      </c>
      <c r="H403" s="5">
        <v>21</v>
      </c>
      <c r="I403" s="9">
        <v>3499</v>
      </c>
      <c r="J403" s="9">
        <f t="shared" si="6"/>
        <v>73479</v>
      </c>
      <c r="K403" t="s">
        <v>1379</v>
      </c>
      <c r="L403" t="s">
        <v>1382</v>
      </c>
    </row>
    <row r="404" spans="1:12" x14ac:dyDescent="0.25">
      <c r="A404" s="3">
        <v>45478</v>
      </c>
      <c r="B404" t="s">
        <v>721</v>
      </c>
      <c r="C404" t="s">
        <v>1133</v>
      </c>
      <c r="D404" t="s">
        <v>1389</v>
      </c>
      <c r="E404" t="s">
        <v>1349</v>
      </c>
      <c r="F404" t="s">
        <v>1351</v>
      </c>
      <c r="G404" t="s">
        <v>1370</v>
      </c>
      <c r="H404" s="5">
        <v>20</v>
      </c>
      <c r="I404" s="9">
        <v>1999</v>
      </c>
      <c r="J404" s="9">
        <f t="shared" si="6"/>
        <v>39980</v>
      </c>
      <c r="K404" t="s">
        <v>1379</v>
      </c>
      <c r="L404" t="s">
        <v>1380</v>
      </c>
    </row>
    <row r="405" spans="1:12" x14ac:dyDescent="0.25">
      <c r="A405" s="3">
        <v>45559</v>
      </c>
      <c r="B405" t="s">
        <v>571</v>
      </c>
      <c r="C405" t="s">
        <v>1045</v>
      </c>
      <c r="D405" t="s">
        <v>1344</v>
      </c>
      <c r="E405" t="s">
        <v>1347</v>
      </c>
      <c r="F405" t="s">
        <v>1352</v>
      </c>
      <c r="G405" t="s">
        <v>1368</v>
      </c>
      <c r="H405" s="5">
        <v>43</v>
      </c>
      <c r="I405" s="9">
        <v>2999</v>
      </c>
      <c r="J405" s="9">
        <f t="shared" si="6"/>
        <v>128957</v>
      </c>
      <c r="K405" t="s">
        <v>1377</v>
      </c>
      <c r="L405" t="s">
        <v>1381</v>
      </c>
    </row>
    <row r="406" spans="1:12" x14ac:dyDescent="0.25">
      <c r="A406" s="3">
        <v>45568</v>
      </c>
      <c r="B406" t="s">
        <v>29</v>
      </c>
      <c r="C406" t="s">
        <v>1039</v>
      </c>
      <c r="D406" t="s">
        <v>1389</v>
      </c>
      <c r="E406" t="s">
        <v>1347</v>
      </c>
      <c r="F406" t="s">
        <v>1353</v>
      </c>
      <c r="G406" t="s">
        <v>1369</v>
      </c>
      <c r="H406" s="5">
        <v>43</v>
      </c>
      <c r="I406" s="9">
        <v>1499</v>
      </c>
      <c r="J406" s="9">
        <f t="shared" si="6"/>
        <v>64457</v>
      </c>
      <c r="K406" t="s">
        <v>1377</v>
      </c>
      <c r="L406" t="s">
        <v>1383</v>
      </c>
    </row>
    <row r="407" spans="1:12" x14ac:dyDescent="0.25">
      <c r="A407" s="3">
        <v>45309</v>
      </c>
      <c r="B407" t="s">
        <v>134</v>
      </c>
      <c r="C407" t="s">
        <v>1119</v>
      </c>
      <c r="D407" t="s">
        <v>1389</v>
      </c>
      <c r="E407" t="s">
        <v>1348</v>
      </c>
      <c r="F407" t="s">
        <v>1354</v>
      </c>
      <c r="G407" t="s">
        <v>1366</v>
      </c>
      <c r="H407" s="5">
        <v>10</v>
      </c>
      <c r="I407" s="9">
        <v>3499</v>
      </c>
      <c r="J407" s="9">
        <f t="shared" si="6"/>
        <v>34990</v>
      </c>
      <c r="K407" t="s">
        <v>1377</v>
      </c>
      <c r="L407" t="s">
        <v>1381</v>
      </c>
    </row>
    <row r="408" spans="1:12" x14ac:dyDescent="0.25">
      <c r="A408" s="3">
        <v>45587</v>
      </c>
      <c r="B408" t="s">
        <v>436</v>
      </c>
      <c r="C408" t="s">
        <v>1262</v>
      </c>
      <c r="D408" t="s">
        <v>1345</v>
      </c>
      <c r="E408" t="s">
        <v>1349</v>
      </c>
      <c r="F408" t="s">
        <v>1351</v>
      </c>
      <c r="G408" t="s">
        <v>1371</v>
      </c>
      <c r="H408" s="5">
        <v>3</v>
      </c>
      <c r="I408" s="9">
        <v>999</v>
      </c>
      <c r="J408" s="9">
        <f t="shared" si="6"/>
        <v>2997</v>
      </c>
      <c r="K408" t="s">
        <v>1379</v>
      </c>
      <c r="L408" t="s">
        <v>1380</v>
      </c>
    </row>
    <row r="409" spans="1:12" x14ac:dyDescent="0.25">
      <c r="A409" s="3">
        <v>45471</v>
      </c>
      <c r="B409" t="s">
        <v>916</v>
      </c>
      <c r="C409" t="s">
        <v>1227</v>
      </c>
      <c r="D409" t="s">
        <v>1389</v>
      </c>
      <c r="E409" t="s">
        <v>1347</v>
      </c>
      <c r="F409" t="s">
        <v>1351</v>
      </c>
      <c r="G409" t="s">
        <v>1357</v>
      </c>
      <c r="H409" s="5">
        <v>43</v>
      </c>
      <c r="I409" s="9">
        <v>1499</v>
      </c>
      <c r="J409" s="9">
        <f t="shared" si="6"/>
        <v>64457</v>
      </c>
      <c r="K409" t="s">
        <v>1379</v>
      </c>
      <c r="L409" t="s">
        <v>1382</v>
      </c>
    </row>
    <row r="410" spans="1:12" x14ac:dyDescent="0.25">
      <c r="A410" s="3">
        <v>45299</v>
      </c>
      <c r="B410" t="s">
        <v>553</v>
      </c>
      <c r="C410" t="s">
        <v>1293</v>
      </c>
      <c r="D410" t="s">
        <v>1389</v>
      </c>
      <c r="E410" t="s">
        <v>1349</v>
      </c>
      <c r="F410" t="s">
        <v>1352</v>
      </c>
      <c r="G410" t="s">
        <v>1375</v>
      </c>
      <c r="H410" s="5">
        <v>31</v>
      </c>
      <c r="I410" s="9">
        <v>1499</v>
      </c>
      <c r="J410" s="9">
        <f t="shared" si="6"/>
        <v>46469</v>
      </c>
      <c r="K410" t="s">
        <v>1378</v>
      </c>
      <c r="L410" t="s">
        <v>1384</v>
      </c>
    </row>
    <row r="411" spans="1:12" x14ac:dyDescent="0.25">
      <c r="A411" s="3">
        <v>45570</v>
      </c>
      <c r="B411" t="s">
        <v>358</v>
      </c>
      <c r="C411" t="s">
        <v>1068</v>
      </c>
      <c r="D411" t="s">
        <v>1345</v>
      </c>
      <c r="E411" t="s">
        <v>1349</v>
      </c>
      <c r="F411" t="s">
        <v>1352</v>
      </c>
      <c r="G411" t="s">
        <v>1368</v>
      </c>
      <c r="H411" s="5">
        <v>41</v>
      </c>
      <c r="I411" s="9">
        <v>2999</v>
      </c>
      <c r="J411" s="9">
        <f t="shared" si="6"/>
        <v>122959</v>
      </c>
      <c r="K411" t="s">
        <v>1379</v>
      </c>
      <c r="L411" t="s">
        <v>1382</v>
      </c>
    </row>
    <row r="412" spans="1:12" x14ac:dyDescent="0.25">
      <c r="A412" s="3">
        <v>45403</v>
      </c>
      <c r="B412" t="s">
        <v>945</v>
      </c>
      <c r="C412" t="s">
        <v>1109</v>
      </c>
      <c r="D412" t="s">
        <v>1345</v>
      </c>
      <c r="E412" t="s">
        <v>1350</v>
      </c>
      <c r="F412" t="s">
        <v>1353</v>
      </c>
      <c r="G412" t="s">
        <v>1369</v>
      </c>
      <c r="H412" s="5">
        <v>37</v>
      </c>
      <c r="I412" s="9">
        <v>3499</v>
      </c>
      <c r="J412" s="9">
        <f t="shared" si="6"/>
        <v>129463</v>
      </c>
      <c r="K412" t="s">
        <v>1377</v>
      </c>
      <c r="L412" t="s">
        <v>1382</v>
      </c>
    </row>
    <row r="413" spans="1:12" x14ac:dyDescent="0.25">
      <c r="A413" s="3">
        <v>45421</v>
      </c>
      <c r="B413" t="s">
        <v>162</v>
      </c>
      <c r="C413" t="s">
        <v>1137</v>
      </c>
      <c r="D413" t="s">
        <v>1345</v>
      </c>
      <c r="E413" t="s">
        <v>1349</v>
      </c>
      <c r="F413" t="s">
        <v>1351</v>
      </c>
      <c r="G413" t="s">
        <v>1357</v>
      </c>
      <c r="H413" s="5">
        <v>26</v>
      </c>
      <c r="I413" s="9">
        <v>2499</v>
      </c>
      <c r="J413" s="9">
        <f t="shared" si="6"/>
        <v>64974</v>
      </c>
      <c r="K413" t="s">
        <v>1376</v>
      </c>
      <c r="L413" t="s">
        <v>1383</v>
      </c>
    </row>
    <row r="414" spans="1:12" x14ac:dyDescent="0.25">
      <c r="A414" s="3">
        <v>45427</v>
      </c>
      <c r="B414" t="s">
        <v>272</v>
      </c>
      <c r="C414" t="s">
        <v>1197</v>
      </c>
      <c r="D414" t="s">
        <v>1389</v>
      </c>
      <c r="E414" t="s">
        <v>1347</v>
      </c>
      <c r="F414" t="s">
        <v>1354</v>
      </c>
      <c r="G414" t="s">
        <v>1362</v>
      </c>
      <c r="H414" s="5">
        <v>47</v>
      </c>
      <c r="I414" s="9">
        <v>499</v>
      </c>
      <c r="J414" s="9">
        <f t="shared" si="6"/>
        <v>23453</v>
      </c>
      <c r="K414" t="s">
        <v>1376</v>
      </c>
      <c r="L414" t="s">
        <v>1384</v>
      </c>
    </row>
    <row r="415" spans="1:12" x14ac:dyDescent="0.25">
      <c r="A415" s="3">
        <v>45518</v>
      </c>
      <c r="B415" t="s">
        <v>1021</v>
      </c>
      <c r="C415" t="s">
        <v>1244</v>
      </c>
      <c r="D415" t="s">
        <v>1389</v>
      </c>
      <c r="E415" t="s">
        <v>1348</v>
      </c>
      <c r="F415" t="s">
        <v>1355</v>
      </c>
      <c r="G415" t="s">
        <v>1374</v>
      </c>
      <c r="H415" s="5">
        <v>47</v>
      </c>
      <c r="I415" s="9">
        <v>2499</v>
      </c>
      <c r="J415" s="9">
        <f t="shared" si="6"/>
        <v>117453</v>
      </c>
      <c r="K415" t="s">
        <v>1379</v>
      </c>
      <c r="L415" t="s">
        <v>1382</v>
      </c>
    </row>
    <row r="416" spans="1:12" x14ac:dyDescent="0.25">
      <c r="A416" s="3">
        <v>45430</v>
      </c>
      <c r="B416" t="s">
        <v>503</v>
      </c>
      <c r="C416" t="s">
        <v>1056</v>
      </c>
      <c r="D416" t="s">
        <v>1345</v>
      </c>
      <c r="E416" t="s">
        <v>1348</v>
      </c>
      <c r="F416" t="s">
        <v>1352</v>
      </c>
      <c r="G416" t="s">
        <v>1375</v>
      </c>
      <c r="H416" s="5">
        <v>26</v>
      </c>
      <c r="I416" s="9">
        <v>3499</v>
      </c>
      <c r="J416" s="9">
        <f t="shared" si="6"/>
        <v>90974</v>
      </c>
      <c r="K416" t="s">
        <v>1378</v>
      </c>
      <c r="L416" t="s">
        <v>1382</v>
      </c>
    </row>
    <row r="417" spans="1:12" x14ac:dyDescent="0.25">
      <c r="A417" s="3">
        <v>45425</v>
      </c>
      <c r="B417" t="s">
        <v>1022</v>
      </c>
      <c r="C417" t="s">
        <v>1078</v>
      </c>
      <c r="D417" t="s">
        <v>1344</v>
      </c>
      <c r="E417" t="s">
        <v>1349</v>
      </c>
      <c r="F417" t="s">
        <v>1354</v>
      </c>
      <c r="G417" t="s">
        <v>1366</v>
      </c>
      <c r="H417" s="5">
        <v>45</v>
      </c>
      <c r="I417" s="9">
        <v>1999</v>
      </c>
      <c r="J417" s="9">
        <f t="shared" si="6"/>
        <v>89955</v>
      </c>
      <c r="K417" t="s">
        <v>1379</v>
      </c>
      <c r="L417" t="s">
        <v>1382</v>
      </c>
    </row>
    <row r="418" spans="1:12" x14ac:dyDescent="0.25">
      <c r="A418" s="3">
        <v>45472</v>
      </c>
      <c r="B418" t="s">
        <v>701</v>
      </c>
      <c r="C418" t="s">
        <v>1077</v>
      </c>
      <c r="D418" t="s">
        <v>1344</v>
      </c>
      <c r="E418" t="s">
        <v>1346</v>
      </c>
      <c r="F418" t="s">
        <v>1353</v>
      </c>
      <c r="G418" t="s">
        <v>1367</v>
      </c>
      <c r="H418" s="5">
        <v>28</v>
      </c>
      <c r="I418" s="9">
        <v>199</v>
      </c>
      <c r="J418" s="9">
        <f t="shared" si="6"/>
        <v>5572</v>
      </c>
      <c r="K418" t="s">
        <v>1378</v>
      </c>
      <c r="L418" t="s">
        <v>1382</v>
      </c>
    </row>
    <row r="419" spans="1:12" x14ac:dyDescent="0.25">
      <c r="A419" s="3">
        <v>45640</v>
      </c>
      <c r="B419" t="s">
        <v>71</v>
      </c>
      <c r="C419" t="s">
        <v>1076</v>
      </c>
      <c r="D419" t="s">
        <v>1345</v>
      </c>
      <c r="E419" t="s">
        <v>1349</v>
      </c>
      <c r="F419" t="s">
        <v>1351</v>
      </c>
      <c r="G419" t="s">
        <v>1370</v>
      </c>
      <c r="H419" s="5">
        <v>16</v>
      </c>
      <c r="I419" s="9">
        <v>3499</v>
      </c>
      <c r="J419" s="9">
        <f t="shared" si="6"/>
        <v>55984</v>
      </c>
      <c r="K419" t="s">
        <v>1376</v>
      </c>
      <c r="L419" t="s">
        <v>1381</v>
      </c>
    </row>
    <row r="420" spans="1:12" x14ac:dyDescent="0.25">
      <c r="A420" s="3">
        <v>45476</v>
      </c>
      <c r="B420" t="s">
        <v>340</v>
      </c>
      <c r="C420" t="s">
        <v>1224</v>
      </c>
      <c r="D420" t="s">
        <v>1344</v>
      </c>
      <c r="E420" t="s">
        <v>1347</v>
      </c>
      <c r="F420" t="s">
        <v>1351</v>
      </c>
      <c r="G420" t="s">
        <v>1371</v>
      </c>
      <c r="H420" s="5">
        <v>40</v>
      </c>
      <c r="I420" s="9">
        <v>1999</v>
      </c>
      <c r="J420" s="9">
        <f t="shared" si="6"/>
        <v>79960</v>
      </c>
      <c r="K420" t="s">
        <v>1378</v>
      </c>
      <c r="L420" t="s">
        <v>1382</v>
      </c>
    </row>
    <row r="421" spans="1:12" x14ac:dyDescent="0.25">
      <c r="A421" s="3">
        <v>45573</v>
      </c>
      <c r="B421" t="s">
        <v>419</v>
      </c>
      <c r="C421" t="s">
        <v>1092</v>
      </c>
      <c r="D421" t="s">
        <v>1344</v>
      </c>
      <c r="E421" t="s">
        <v>1349</v>
      </c>
      <c r="F421" t="s">
        <v>1353</v>
      </c>
      <c r="G421" t="s">
        <v>1359</v>
      </c>
      <c r="H421" s="5">
        <v>30</v>
      </c>
      <c r="I421" s="9">
        <v>199</v>
      </c>
      <c r="J421" s="9">
        <f t="shared" si="6"/>
        <v>5970</v>
      </c>
      <c r="K421" t="s">
        <v>1377</v>
      </c>
      <c r="L421" t="s">
        <v>1382</v>
      </c>
    </row>
    <row r="422" spans="1:12" x14ac:dyDescent="0.25">
      <c r="A422" s="3">
        <v>45428</v>
      </c>
      <c r="B422" t="s">
        <v>308</v>
      </c>
      <c r="C422" t="s">
        <v>1210</v>
      </c>
      <c r="D422" t="s">
        <v>1389</v>
      </c>
      <c r="E422" t="s">
        <v>1350</v>
      </c>
      <c r="F422" t="s">
        <v>1351</v>
      </c>
      <c r="G422" t="s">
        <v>1371</v>
      </c>
      <c r="H422" s="5">
        <v>24</v>
      </c>
      <c r="I422" s="9">
        <v>999</v>
      </c>
      <c r="J422" s="9">
        <f t="shared" si="6"/>
        <v>23976</v>
      </c>
      <c r="K422" t="s">
        <v>1377</v>
      </c>
      <c r="L422" t="s">
        <v>1382</v>
      </c>
    </row>
    <row r="423" spans="1:12" x14ac:dyDescent="0.25">
      <c r="A423" s="3">
        <v>45380</v>
      </c>
      <c r="B423" t="s">
        <v>90</v>
      </c>
      <c r="C423" t="s">
        <v>1091</v>
      </c>
      <c r="D423" t="s">
        <v>1389</v>
      </c>
      <c r="E423" t="s">
        <v>1348</v>
      </c>
      <c r="F423" t="s">
        <v>1352</v>
      </c>
      <c r="G423" t="s">
        <v>1364</v>
      </c>
      <c r="H423" s="5">
        <v>47</v>
      </c>
      <c r="I423" s="9">
        <v>499</v>
      </c>
      <c r="J423" s="9">
        <f t="shared" si="6"/>
        <v>23453</v>
      </c>
      <c r="K423" t="s">
        <v>1377</v>
      </c>
      <c r="L423" t="s">
        <v>1380</v>
      </c>
    </row>
    <row r="424" spans="1:12" x14ac:dyDescent="0.25">
      <c r="A424" s="3">
        <v>45632</v>
      </c>
      <c r="B424" t="s">
        <v>702</v>
      </c>
      <c r="C424" t="s">
        <v>1318</v>
      </c>
      <c r="D424" t="s">
        <v>1344</v>
      </c>
      <c r="E424" t="s">
        <v>1347</v>
      </c>
      <c r="F424" t="s">
        <v>1351</v>
      </c>
      <c r="G424" t="s">
        <v>1357</v>
      </c>
      <c r="H424" s="5">
        <v>17</v>
      </c>
      <c r="I424" s="9">
        <v>199</v>
      </c>
      <c r="J424" s="9">
        <f t="shared" si="6"/>
        <v>3383</v>
      </c>
      <c r="K424" t="s">
        <v>1378</v>
      </c>
      <c r="L424" t="s">
        <v>1381</v>
      </c>
    </row>
    <row r="425" spans="1:12" x14ac:dyDescent="0.25">
      <c r="A425" s="3">
        <v>45304</v>
      </c>
      <c r="B425" t="s">
        <v>536</v>
      </c>
      <c r="C425" t="s">
        <v>1093</v>
      </c>
      <c r="D425" t="s">
        <v>1345</v>
      </c>
      <c r="E425" t="s">
        <v>1349</v>
      </c>
      <c r="F425" t="s">
        <v>1353</v>
      </c>
      <c r="G425" t="s">
        <v>1365</v>
      </c>
      <c r="H425" s="5">
        <v>14</v>
      </c>
      <c r="I425" s="9">
        <v>999</v>
      </c>
      <c r="J425" s="9">
        <f t="shared" si="6"/>
        <v>13986</v>
      </c>
      <c r="K425" t="s">
        <v>1377</v>
      </c>
      <c r="L425" t="s">
        <v>1383</v>
      </c>
    </row>
    <row r="426" spans="1:12" x14ac:dyDescent="0.25">
      <c r="A426" s="3">
        <v>45556</v>
      </c>
      <c r="B426" t="s">
        <v>161</v>
      </c>
      <c r="C426" t="s">
        <v>1072</v>
      </c>
      <c r="D426" t="s">
        <v>1345</v>
      </c>
      <c r="E426" t="s">
        <v>1347</v>
      </c>
      <c r="F426" t="s">
        <v>1352</v>
      </c>
      <c r="G426" t="s">
        <v>1368</v>
      </c>
      <c r="H426" s="5">
        <v>25</v>
      </c>
      <c r="I426" s="9">
        <v>1624</v>
      </c>
      <c r="J426" s="9">
        <f t="shared" si="6"/>
        <v>40600</v>
      </c>
      <c r="K426" t="s">
        <v>1379</v>
      </c>
      <c r="L426" t="s">
        <v>1381</v>
      </c>
    </row>
    <row r="427" spans="1:12" x14ac:dyDescent="0.25">
      <c r="A427" s="3">
        <v>45506</v>
      </c>
      <c r="B427" t="s">
        <v>92</v>
      </c>
      <c r="C427" t="s">
        <v>1092</v>
      </c>
      <c r="D427" t="s">
        <v>1344</v>
      </c>
      <c r="E427" t="s">
        <v>1348</v>
      </c>
      <c r="F427" t="s">
        <v>1352</v>
      </c>
      <c r="G427" t="s">
        <v>1368</v>
      </c>
      <c r="H427" s="5">
        <v>42</v>
      </c>
      <c r="I427" s="9">
        <v>2499</v>
      </c>
      <c r="J427" s="9">
        <f t="shared" si="6"/>
        <v>104958</v>
      </c>
      <c r="K427" t="s">
        <v>1379</v>
      </c>
      <c r="L427" t="s">
        <v>1380</v>
      </c>
    </row>
    <row r="428" spans="1:12" x14ac:dyDescent="0.25">
      <c r="A428" s="3">
        <v>45392</v>
      </c>
      <c r="B428" t="s">
        <v>287</v>
      </c>
      <c r="C428" t="s">
        <v>1204</v>
      </c>
      <c r="D428" t="s">
        <v>1389</v>
      </c>
      <c r="E428" t="s">
        <v>1347</v>
      </c>
      <c r="F428" t="s">
        <v>1353</v>
      </c>
      <c r="G428" t="s">
        <v>1367</v>
      </c>
      <c r="H428" s="5">
        <v>24</v>
      </c>
      <c r="I428" s="9">
        <v>2499</v>
      </c>
      <c r="J428" s="9">
        <f t="shared" si="6"/>
        <v>59976</v>
      </c>
      <c r="K428" t="s">
        <v>1377</v>
      </c>
      <c r="L428" t="s">
        <v>1382</v>
      </c>
    </row>
    <row r="429" spans="1:12" x14ac:dyDescent="0.25">
      <c r="A429" s="3">
        <v>45404</v>
      </c>
      <c r="B429" t="s">
        <v>424</v>
      </c>
      <c r="C429" t="s">
        <v>1247</v>
      </c>
      <c r="D429" t="s">
        <v>1389</v>
      </c>
      <c r="E429" t="s">
        <v>1349</v>
      </c>
      <c r="F429" t="s">
        <v>1353</v>
      </c>
      <c r="G429" t="s">
        <v>1369</v>
      </c>
      <c r="H429" s="5">
        <v>6</v>
      </c>
      <c r="I429" s="9">
        <v>2999</v>
      </c>
      <c r="J429" s="9">
        <f t="shared" si="6"/>
        <v>17994</v>
      </c>
      <c r="K429" t="s">
        <v>1378</v>
      </c>
      <c r="L429" t="s">
        <v>1380</v>
      </c>
    </row>
    <row r="430" spans="1:12" x14ac:dyDescent="0.25">
      <c r="A430" s="3">
        <v>45654</v>
      </c>
      <c r="B430" t="s">
        <v>232</v>
      </c>
      <c r="C430" t="s">
        <v>1164</v>
      </c>
      <c r="D430" t="s">
        <v>1345</v>
      </c>
      <c r="E430" t="s">
        <v>1347</v>
      </c>
      <c r="F430" t="s">
        <v>1353</v>
      </c>
      <c r="G430" t="s">
        <v>1359</v>
      </c>
      <c r="H430" s="5">
        <v>47</v>
      </c>
      <c r="I430" s="9">
        <v>3499</v>
      </c>
      <c r="J430" s="9">
        <f t="shared" si="6"/>
        <v>164453</v>
      </c>
      <c r="K430" t="s">
        <v>1377</v>
      </c>
      <c r="L430" t="s">
        <v>1384</v>
      </c>
    </row>
    <row r="431" spans="1:12" x14ac:dyDescent="0.25">
      <c r="A431" s="3">
        <v>45454</v>
      </c>
      <c r="B431" t="s">
        <v>494</v>
      </c>
      <c r="C431" t="s">
        <v>1047</v>
      </c>
      <c r="D431" t="s">
        <v>1345</v>
      </c>
      <c r="E431" t="s">
        <v>1346</v>
      </c>
      <c r="F431" t="s">
        <v>1352</v>
      </c>
      <c r="G431" t="s">
        <v>1368</v>
      </c>
      <c r="H431" s="5">
        <v>5</v>
      </c>
      <c r="I431" s="9">
        <v>2999</v>
      </c>
      <c r="J431" s="9">
        <f t="shared" si="6"/>
        <v>14995</v>
      </c>
      <c r="K431" t="s">
        <v>1378</v>
      </c>
      <c r="L431" t="s">
        <v>1384</v>
      </c>
    </row>
    <row r="432" spans="1:12" x14ac:dyDescent="0.25">
      <c r="A432" s="3">
        <v>45470</v>
      </c>
      <c r="B432" t="s">
        <v>189</v>
      </c>
      <c r="C432" t="s">
        <v>1152</v>
      </c>
      <c r="D432" t="s">
        <v>1344</v>
      </c>
      <c r="E432" t="s">
        <v>1350</v>
      </c>
      <c r="F432" t="s">
        <v>1351</v>
      </c>
      <c r="G432" t="s">
        <v>1356</v>
      </c>
      <c r="H432" s="5">
        <v>11</v>
      </c>
      <c r="I432" s="9">
        <v>2999</v>
      </c>
      <c r="J432" s="9">
        <f t="shared" si="6"/>
        <v>32989</v>
      </c>
      <c r="K432" t="s">
        <v>1376</v>
      </c>
      <c r="L432" t="s">
        <v>1383</v>
      </c>
    </row>
    <row r="433" spans="1:12" x14ac:dyDescent="0.25">
      <c r="A433" s="3">
        <v>45485</v>
      </c>
      <c r="B433" t="s">
        <v>41</v>
      </c>
      <c r="C433" t="s">
        <v>1051</v>
      </c>
      <c r="D433" t="s">
        <v>1344</v>
      </c>
      <c r="E433" t="s">
        <v>1348</v>
      </c>
      <c r="F433" t="s">
        <v>1355</v>
      </c>
      <c r="G433" t="s">
        <v>1360</v>
      </c>
      <c r="H433" s="5">
        <v>5</v>
      </c>
      <c r="I433" s="9">
        <v>2499</v>
      </c>
      <c r="J433" s="9">
        <f t="shared" si="6"/>
        <v>12495</v>
      </c>
      <c r="K433" t="s">
        <v>1378</v>
      </c>
      <c r="L433" t="s">
        <v>1382</v>
      </c>
    </row>
    <row r="434" spans="1:12" x14ac:dyDescent="0.25">
      <c r="A434" s="3">
        <v>45330</v>
      </c>
      <c r="B434" t="s">
        <v>1023</v>
      </c>
      <c r="C434" t="s">
        <v>1081</v>
      </c>
      <c r="D434" t="s">
        <v>1344</v>
      </c>
      <c r="E434" t="s">
        <v>1350</v>
      </c>
      <c r="F434" t="s">
        <v>1353</v>
      </c>
      <c r="G434" t="s">
        <v>1359</v>
      </c>
      <c r="H434" s="5">
        <v>47</v>
      </c>
      <c r="I434" s="9">
        <v>1999</v>
      </c>
      <c r="J434" s="9">
        <f t="shared" si="6"/>
        <v>93953</v>
      </c>
      <c r="K434" t="s">
        <v>1379</v>
      </c>
      <c r="L434" t="s">
        <v>1384</v>
      </c>
    </row>
    <row r="435" spans="1:12" x14ac:dyDescent="0.25">
      <c r="A435" s="3">
        <v>45301</v>
      </c>
      <c r="B435" t="s">
        <v>651</v>
      </c>
      <c r="C435" t="s">
        <v>1079</v>
      </c>
      <c r="D435" t="s">
        <v>1344</v>
      </c>
      <c r="E435" t="s">
        <v>1349</v>
      </c>
      <c r="F435" t="s">
        <v>1354</v>
      </c>
      <c r="G435" t="s">
        <v>1366</v>
      </c>
      <c r="H435" s="5">
        <v>11</v>
      </c>
      <c r="I435" s="9">
        <v>1999</v>
      </c>
      <c r="J435" s="9">
        <f t="shared" si="6"/>
        <v>21989</v>
      </c>
      <c r="K435" t="s">
        <v>1379</v>
      </c>
      <c r="L435" t="s">
        <v>1382</v>
      </c>
    </row>
    <row r="436" spans="1:12" x14ac:dyDescent="0.25">
      <c r="A436" s="3">
        <v>45456</v>
      </c>
      <c r="B436" t="s">
        <v>1002</v>
      </c>
      <c r="C436" t="s">
        <v>1332</v>
      </c>
      <c r="D436" t="s">
        <v>1345</v>
      </c>
      <c r="E436" t="s">
        <v>1347</v>
      </c>
      <c r="F436" t="s">
        <v>1351</v>
      </c>
      <c r="G436" t="s">
        <v>1370</v>
      </c>
      <c r="H436" s="5">
        <v>2</v>
      </c>
      <c r="I436" s="9">
        <v>999</v>
      </c>
      <c r="J436" s="9">
        <f t="shared" si="6"/>
        <v>1998</v>
      </c>
      <c r="K436" t="s">
        <v>1377</v>
      </c>
      <c r="L436" t="s">
        <v>1380</v>
      </c>
    </row>
    <row r="437" spans="1:12" x14ac:dyDescent="0.25">
      <c r="A437" s="3">
        <v>45292</v>
      </c>
      <c r="B437" t="s">
        <v>246</v>
      </c>
      <c r="C437" t="s">
        <v>1069</v>
      </c>
      <c r="D437" t="s">
        <v>1389</v>
      </c>
      <c r="E437" t="s">
        <v>1349</v>
      </c>
      <c r="F437" t="s">
        <v>1354</v>
      </c>
      <c r="G437" t="s">
        <v>1366</v>
      </c>
      <c r="H437" s="5">
        <v>42</v>
      </c>
      <c r="I437" s="9">
        <v>499</v>
      </c>
      <c r="J437" s="9">
        <f t="shared" si="6"/>
        <v>20958</v>
      </c>
      <c r="K437" t="s">
        <v>1377</v>
      </c>
      <c r="L437" t="s">
        <v>1384</v>
      </c>
    </row>
    <row r="438" spans="1:12" x14ac:dyDescent="0.25">
      <c r="A438" s="3">
        <v>45410</v>
      </c>
      <c r="B438" t="s">
        <v>560</v>
      </c>
      <c r="C438" t="s">
        <v>1282</v>
      </c>
      <c r="D438" t="s">
        <v>1344</v>
      </c>
      <c r="E438" t="s">
        <v>1349</v>
      </c>
      <c r="F438" t="s">
        <v>1353</v>
      </c>
      <c r="G438" t="s">
        <v>1369</v>
      </c>
      <c r="H438" s="5">
        <v>22</v>
      </c>
      <c r="I438" s="9">
        <v>499</v>
      </c>
      <c r="J438" s="9">
        <f t="shared" si="6"/>
        <v>10978</v>
      </c>
      <c r="K438" t="s">
        <v>1377</v>
      </c>
      <c r="L438" t="s">
        <v>1382</v>
      </c>
    </row>
    <row r="439" spans="1:12" x14ac:dyDescent="0.25">
      <c r="A439" s="3">
        <v>45354</v>
      </c>
      <c r="B439" t="s">
        <v>25</v>
      </c>
      <c r="C439" t="s">
        <v>1037</v>
      </c>
      <c r="D439" t="s">
        <v>1344</v>
      </c>
      <c r="E439" t="s">
        <v>1349</v>
      </c>
      <c r="F439" t="s">
        <v>1354</v>
      </c>
      <c r="G439" t="s">
        <v>1366</v>
      </c>
      <c r="H439" s="5">
        <v>5</v>
      </c>
      <c r="I439" s="9">
        <v>999</v>
      </c>
      <c r="J439" s="9">
        <f t="shared" si="6"/>
        <v>4995</v>
      </c>
      <c r="K439" t="s">
        <v>1377</v>
      </c>
      <c r="L439" t="s">
        <v>1380</v>
      </c>
    </row>
    <row r="440" spans="1:12" x14ac:dyDescent="0.25">
      <c r="A440" s="3">
        <v>45374</v>
      </c>
      <c r="B440" t="s">
        <v>454</v>
      </c>
      <c r="C440" t="s">
        <v>1270</v>
      </c>
      <c r="D440" t="s">
        <v>1345</v>
      </c>
      <c r="E440" t="s">
        <v>1350</v>
      </c>
      <c r="F440" t="s">
        <v>1352</v>
      </c>
      <c r="G440" t="s">
        <v>1368</v>
      </c>
      <c r="H440" s="5">
        <v>3</v>
      </c>
      <c r="I440" s="9">
        <v>2999</v>
      </c>
      <c r="J440" s="9">
        <f t="shared" si="6"/>
        <v>8997</v>
      </c>
      <c r="K440" t="s">
        <v>1379</v>
      </c>
      <c r="L440" t="s">
        <v>1382</v>
      </c>
    </row>
    <row r="441" spans="1:12" x14ac:dyDescent="0.25">
      <c r="A441" s="3">
        <v>45392</v>
      </c>
      <c r="B441" t="s">
        <v>931</v>
      </c>
      <c r="C441" t="s">
        <v>1232</v>
      </c>
      <c r="D441" t="s">
        <v>1344</v>
      </c>
      <c r="E441" t="s">
        <v>1347</v>
      </c>
      <c r="F441" t="s">
        <v>1351</v>
      </c>
      <c r="G441" t="s">
        <v>1356</v>
      </c>
      <c r="H441" s="5">
        <v>37</v>
      </c>
      <c r="I441" s="9">
        <v>999</v>
      </c>
      <c r="J441" s="9">
        <f t="shared" si="6"/>
        <v>36963</v>
      </c>
      <c r="K441" t="s">
        <v>1379</v>
      </c>
      <c r="L441" t="s">
        <v>1380</v>
      </c>
    </row>
    <row r="442" spans="1:12" x14ac:dyDescent="0.25">
      <c r="A442" s="3">
        <v>45509</v>
      </c>
      <c r="B442" t="s">
        <v>104</v>
      </c>
      <c r="C442" t="s">
        <v>1102</v>
      </c>
      <c r="D442" t="s">
        <v>1389</v>
      </c>
      <c r="E442" t="s">
        <v>1347</v>
      </c>
      <c r="F442" t="s">
        <v>1354</v>
      </c>
      <c r="G442" t="s">
        <v>1366</v>
      </c>
      <c r="H442" s="5">
        <v>32</v>
      </c>
      <c r="I442" s="9">
        <v>2999</v>
      </c>
      <c r="J442" s="9">
        <f t="shared" si="6"/>
        <v>95968</v>
      </c>
      <c r="K442" t="s">
        <v>1379</v>
      </c>
      <c r="L442" t="s">
        <v>1384</v>
      </c>
    </row>
    <row r="443" spans="1:12" x14ac:dyDescent="0.25">
      <c r="A443" s="3">
        <v>45336</v>
      </c>
      <c r="B443" t="s">
        <v>516</v>
      </c>
      <c r="C443" t="s">
        <v>1081</v>
      </c>
      <c r="D443" t="s">
        <v>1389</v>
      </c>
      <c r="E443" t="s">
        <v>1349</v>
      </c>
      <c r="F443" t="s">
        <v>1352</v>
      </c>
      <c r="G443" t="s">
        <v>1364</v>
      </c>
      <c r="H443" s="5">
        <v>3</v>
      </c>
      <c r="I443" s="9">
        <v>999</v>
      </c>
      <c r="J443" s="9">
        <f t="shared" si="6"/>
        <v>2997</v>
      </c>
      <c r="K443" t="s">
        <v>1377</v>
      </c>
      <c r="L443" t="s">
        <v>1382</v>
      </c>
    </row>
    <row r="444" spans="1:12" x14ac:dyDescent="0.25">
      <c r="A444" s="3">
        <v>45349</v>
      </c>
      <c r="B444" t="s">
        <v>81</v>
      </c>
      <c r="C444" t="s">
        <v>1085</v>
      </c>
      <c r="D444" t="s">
        <v>1389</v>
      </c>
      <c r="E444" t="s">
        <v>1350</v>
      </c>
      <c r="F444" t="s">
        <v>1355</v>
      </c>
      <c r="G444" t="s">
        <v>1373</v>
      </c>
      <c r="H444" s="5">
        <v>44</v>
      </c>
      <c r="I444" s="9">
        <v>199</v>
      </c>
      <c r="J444" s="9">
        <f t="shared" si="6"/>
        <v>8756</v>
      </c>
      <c r="K444" t="s">
        <v>1379</v>
      </c>
      <c r="L444" t="s">
        <v>1382</v>
      </c>
    </row>
    <row r="445" spans="1:12" x14ac:dyDescent="0.25">
      <c r="A445" s="3">
        <v>45566</v>
      </c>
      <c r="B445" t="s">
        <v>176</v>
      </c>
      <c r="C445" t="s">
        <v>1144</v>
      </c>
      <c r="D445" t="s">
        <v>1345</v>
      </c>
      <c r="E445" t="s">
        <v>1347</v>
      </c>
      <c r="F445" t="s">
        <v>1354</v>
      </c>
      <c r="G445" t="s">
        <v>1363</v>
      </c>
      <c r="H445" s="5">
        <v>5</v>
      </c>
      <c r="I445" s="9">
        <v>2999</v>
      </c>
      <c r="J445" s="9">
        <f t="shared" si="6"/>
        <v>14995</v>
      </c>
      <c r="K445" t="s">
        <v>1379</v>
      </c>
      <c r="L445" t="s">
        <v>1384</v>
      </c>
    </row>
    <row r="446" spans="1:12" x14ac:dyDescent="0.25">
      <c r="A446" s="3">
        <v>45367</v>
      </c>
      <c r="B446" t="s">
        <v>32</v>
      </c>
      <c r="C446" t="s">
        <v>1042</v>
      </c>
      <c r="D446" t="s">
        <v>1389</v>
      </c>
      <c r="E446" t="s">
        <v>1346</v>
      </c>
      <c r="F446" t="s">
        <v>1351</v>
      </c>
      <c r="G446" t="s">
        <v>1371</v>
      </c>
      <c r="H446" s="5">
        <v>17</v>
      </c>
      <c r="I446" s="9">
        <v>199</v>
      </c>
      <c r="J446" s="9">
        <f t="shared" si="6"/>
        <v>3383</v>
      </c>
      <c r="K446" t="s">
        <v>1379</v>
      </c>
      <c r="L446" t="s">
        <v>1382</v>
      </c>
    </row>
    <row r="447" spans="1:12" x14ac:dyDescent="0.25">
      <c r="A447" s="3">
        <v>45425</v>
      </c>
      <c r="B447" t="s">
        <v>514</v>
      </c>
      <c r="C447" t="s">
        <v>1286</v>
      </c>
      <c r="D447" t="s">
        <v>1389</v>
      </c>
      <c r="E447" t="s">
        <v>1349</v>
      </c>
      <c r="F447" t="s">
        <v>1352</v>
      </c>
      <c r="G447" t="s">
        <v>1364</v>
      </c>
      <c r="H447" s="5">
        <v>35</v>
      </c>
      <c r="I447" s="9">
        <v>199</v>
      </c>
      <c r="J447" s="9">
        <f t="shared" si="6"/>
        <v>6965</v>
      </c>
      <c r="K447" t="s">
        <v>1376</v>
      </c>
      <c r="L447" t="s">
        <v>1384</v>
      </c>
    </row>
    <row r="448" spans="1:12" x14ac:dyDescent="0.25">
      <c r="A448" s="3">
        <v>45301</v>
      </c>
      <c r="B448" t="s">
        <v>977</v>
      </c>
      <c r="C448" t="s">
        <v>1287</v>
      </c>
      <c r="D448" t="s">
        <v>1389</v>
      </c>
      <c r="E448" t="s">
        <v>1349</v>
      </c>
      <c r="F448" t="s">
        <v>1354</v>
      </c>
      <c r="G448" t="s">
        <v>1362</v>
      </c>
      <c r="H448" s="5">
        <v>8</v>
      </c>
      <c r="I448" s="9">
        <v>2499</v>
      </c>
      <c r="J448" s="9">
        <f t="shared" si="6"/>
        <v>19992</v>
      </c>
      <c r="K448" t="s">
        <v>1378</v>
      </c>
      <c r="L448" t="s">
        <v>1384</v>
      </c>
    </row>
    <row r="449" spans="1:12" x14ac:dyDescent="0.25">
      <c r="A449" s="3">
        <v>45375</v>
      </c>
      <c r="B449" t="s">
        <v>357</v>
      </c>
      <c r="C449" t="s">
        <v>1234</v>
      </c>
      <c r="D449" t="s">
        <v>1389</v>
      </c>
      <c r="E449" t="s">
        <v>1349</v>
      </c>
      <c r="F449" t="s">
        <v>1351</v>
      </c>
      <c r="G449" t="s">
        <v>1370</v>
      </c>
      <c r="H449" s="5">
        <v>12</v>
      </c>
      <c r="I449" s="9">
        <v>499</v>
      </c>
      <c r="J449" s="9">
        <f t="shared" si="6"/>
        <v>5988</v>
      </c>
      <c r="K449" t="s">
        <v>1379</v>
      </c>
      <c r="L449" t="s">
        <v>1384</v>
      </c>
    </row>
    <row r="450" spans="1:12" x14ac:dyDescent="0.25">
      <c r="A450" s="3">
        <v>45292</v>
      </c>
      <c r="B450" t="s">
        <v>363</v>
      </c>
      <c r="C450" t="s">
        <v>1236</v>
      </c>
      <c r="D450" t="s">
        <v>1389</v>
      </c>
      <c r="E450" t="s">
        <v>1347</v>
      </c>
      <c r="F450" t="s">
        <v>1352</v>
      </c>
      <c r="G450" t="s">
        <v>1364</v>
      </c>
      <c r="H450" s="5">
        <v>43</v>
      </c>
      <c r="I450" s="9">
        <v>1624</v>
      </c>
      <c r="J450" s="9">
        <f t="shared" ref="J450:J513" si="7">H450*I450</f>
        <v>69832</v>
      </c>
      <c r="K450" t="s">
        <v>1377</v>
      </c>
      <c r="L450" t="s">
        <v>1384</v>
      </c>
    </row>
    <row r="451" spans="1:12" x14ac:dyDescent="0.25">
      <c r="A451" s="3">
        <v>45519</v>
      </c>
      <c r="B451" t="s">
        <v>16</v>
      </c>
      <c r="C451" t="s">
        <v>1028</v>
      </c>
      <c r="D451" t="s">
        <v>1344</v>
      </c>
      <c r="E451" t="s">
        <v>1346</v>
      </c>
      <c r="F451" t="s">
        <v>1353</v>
      </c>
      <c r="G451" t="s">
        <v>1359</v>
      </c>
      <c r="H451" s="5">
        <v>42</v>
      </c>
      <c r="I451" s="9">
        <v>1999</v>
      </c>
      <c r="J451" s="9">
        <f t="shared" si="7"/>
        <v>83958</v>
      </c>
      <c r="K451" t="s">
        <v>1379</v>
      </c>
      <c r="L451" t="s">
        <v>1380</v>
      </c>
    </row>
    <row r="452" spans="1:12" x14ac:dyDescent="0.25">
      <c r="A452" s="3">
        <v>45525</v>
      </c>
      <c r="B452" t="s">
        <v>548</v>
      </c>
      <c r="C452" t="s">
        <v>1262</v>
      </c>
      <c r="D452" t="s">
        <v>1345</v>
      </c>
      <c r="E452" t="s">
        <v>1350</v>
      </c>
      <c r="F452" t="s">
        <v>1354</v>
      </c>
      <c r="G452" t="s">
        <v>1366</v>
      </c>
      <c r="H452" s="5">
        <v>44</v>
      </c>
      <c r="I452" s="9">
        <v>1499</v>
      </c>
      <c r="J452" s="9">
        <f t="shared" si="7"/>
        <v>65956</v>
      </c>
      <c r="K452" t="s">
        <v>1376</v>
      </c>
      <c r="L452" t="s">
        <v>1380</v>
      </c>
    </row>
    <row r="453" spans="1:12" x14ac:dyDescent="0.25">
      <c r="A453" s="3">
        <v>45344</v>
      </c>
      <c r="B453" t="s">
        <v>435</v>
      </c>
      <c r="C453" t="s">
        <v>1257</v>
      </c>
      <c r="D453" t="s">
        <v>1344</v>
      </c>
      <c r="E453" t="s">
        <v>1346</v>
      </c>
      <c r="F453" t="s">
        <v>1351</v>
      </c>
      <c r="G453" t="s">
        <v>1356</v>
      </c>
      <c r="H453" s="5">
        <v>5</v>
      </c>
      <c r="I453" s="9">
        <v>499</v>
      </c>
      <c r="J453" s="9">
        <f t="shared" si="7"/>
        <v>2495</v>
      </c>
      <c r="K453" t="s">
        <v>1379</v>
      </c>
      <c r="L453" t="s">
        <v>1382</v>
      </c>
    </row>
    <row r="454" spans="1:12" x14ac:dyDescent="0.25">
      <c r="A454" s="3">
        <v>45562</v>
      </c>
      <c r="B454" t="s">
        <v>959</v>
      </c>
      <c r="C454" t="s">
        <v>1339</v>
      </c>
      <c r="D454" t="s">
        <v>1389</v>
      </c>
      <c r="E454" t="s">
        <v>1349</v>
      </c>
      <c r="F454" t="s">
        <v>1352</v>
      </c>
      <c r="G454" t="s">
        <v>1368</v>
      </c>
      <c r="H454" s="5">
        <v>34</v>
      </c>
      <c r="I454" s="9">
        <v>1624</v>
      </c>
      <c r="J454" s="9">
        <f t="shared" si="7"/>
        <v>55216</v>
      </c>
      <c r="K454" t="s">
        <v>1379</v>
      </c>
      <c r="L454" t="s">
        <v>1380</v>
      </c>
    </row>
    <row r="455" spans="1:12" x14ac:dyDescent="0.25">
      <c r="A455" s="3">
        <v>45349</v>
      </c>
      <c r="B455" t="s">
        <v>692</v>
      </c>
      <c r="C455" t="s">
        <v>1121</v>
      </c>
      <c r="D455" t="s">
        <v>1389</v>
      </c>
      <c r="E455" t="s">
        <v>1349</v>
      </c>
      <c r="F455" t="s">
        <v>1352</v>
      </c>
      <c r="G455" t="s">
        <v>1368</v>
      </c>
      <c r="H455" s="5">
        <v>24</v>
      </c>
      <c r="I455" s="9">
        <v>1999</v>
      </c>
      <c r="J455" s="9">
        <f t="shared" si="7"/>
        <v>47976</v>
      </c>
      <c r="K455" t="s">
        <v>1379</v>
      </c>
      <c r="L455" t="s">
        <v>1383</v>
      </c>
    </row>
    <row r="456" spans="1:12" x14ac:dyDescent="0.25">
      <c r="A456" s="3">
        <v>45470</v>
      </c>
      <c r="B456" t="s">
        <v>362</v>
      </c>
      <c r="C456" t="s">
        <v>1142</v>
      </c>
      <c r="D456" t="s">
        <v>1344</v>
      </c>
      <c r="E456" t="s">
        <v>1347</v>
      </c>
      <c r="F456" t="s">
        <v>1352</v>
      </c>
      <c r="G456" t="s">
        <v>1375</v>
      </c>
      <c r="H456" s="5">
        <v>4</v>
      </c>
      <c r="I456" s="9">
        <v>1624</v>
      </c>
      <c r="J456" s="9">
        <f t="shared" si="7"/>
        <v>6496</v>
      </c>
      <c r="K456" t="s">
        <v>1376</v>
      </c>
      <c r="L456" t="s">
        <v>1383</v>
      </c>
    </row>
    <row r="457" spans="1:12" x14ac:dyDescent="0.25">
      <c r="A457" s="3">
        <v>45543</v>
      </c>
      <c r="B457" t="s">
        <v>60</v>
      </c>
      <c r="C457" t="s">
        <v>1066</v>
      </c>
      <c r="D457" t="s">
        <v>1389</v>
      </c>
      <c r="E457" t="s">
        <v>1350</v>
      </c>
      <c r="F457" t="s">
        <v>1351</v>
      </c>
      <c r="G457" t="s">
        <v>1357</v>
      </c>
      <c r="H457" s="5">
        <v>14</v>
      </c>
      <c r="I457" s="9">
        <v>1999</v>
      </c>
      <c r="J457" s="9">
        <f t="shared" si="7"/>
        <v>27986</v>
      </c>
      <c r="K457" t="s">
        <v>1376</v>
      </c>
      <c r="L457" t="s">
        <v>1381</v>
      </c>
    </row>
    <row r="458" spans="1:12" x14ac:dyDescent="0.25">
      <c r="A458" s="3">
        <v>45466</v>
      </c>
      <c r="B458" t="s">
        <v>84</v>
      </c>
      <c r="C458" t="s">
        <v>1068</v>
      </c>
      <c r="D458" t="s">
        <v>1389</v>
      </c>
      <c r="E458" t="s">
        <v>1347</v>
      </c>
      <c r="F458" t="s">
        <v>1353</v>
      </c>
      <c r="G458" t="s">
        <v>1369</v>
      </c>
      <c r="H458" s="5">
        <v>4</v>
      </c>
      <c r="I458" s="9">
        <v>1845</v>
      </c>
      <c r="J458" s="9">
        <f t="shared" si="7"/>
        <v>7380</v>
      </c>
      <c r="K458" t="s">
        <v>1379</v>
      </c>
      <c r="L458" t="s">
        <v>1382</v>
      </c>
    </row>
    <row r="459" spans="1:12" x14ac:dyDescent="0.25">
      <c r="A459" s="3">
        <v>45467</v>
      </c>
      <c r="B459" t="s">
        <v>645</v>
      </c>
      <c r="C459" t="s">
        <v>1076</v>
      </c>
      <c r="D459" t="s">
        <v>1345</v>
      </c>
      <c r="E459" t="s">
        <v>1347</v>
      </c>
      <c r="F459" t="s">
        <v>1354</v>
      </c>
      <c r="G459" t="s">
        <v>1366</v>
      </c>
      <c r="H459" s="5">
        <v>39</v>
      </c>
      <c r="I459" s="9">
        <v>999</v>
      </c>
      <c r="J459" s="9">
        <f t="shared" si="7"/>
        <v>38961</v>
      </c>
      <c r="K459" t="s">
        <v>1377</v>
      </c>
      <c r="L459" t="s">
        <v>1384</v>
      </c>
    </row>
    <row r="460" spans="1:12" x14ac:dyDescent="0.25">
      <c r="A460" s="3">
        <v>45330</v>
      </c>
      <c r="B460" t="s">
        <v>491</v>
      </c>
      <c r="C460" t="s">
        <v>1071</v>
      </c>
      <c r="D460" t="s">
        <v>1389</v>
      </c>
      <c r="E460" t="s">
        <v>1346</v>
      </c>
      <c r="F460" t="s">
        <v>1351</v>
      </c>
      <c r="G460" t="s">
        <v>1371</v>
      </c>
      <c r="H460" s="5">
        <v>47</v>
      </c>
      <c r="I460" s="9">
        <v>1999</v>
      </c>
      <c r="J460" s="9">
        <f t="shared" si="7"/>
        <v>93953</v>
      </c>
      <c r="K460" t="s">
        <v>1379</v>
      </c>
      <c r="L460" t="s">
        <v>1381</v>
      </c>
    </row>
    <row r="461" spans="1:12" x14ac:dyDescent="0.25">
      <c r="A461" s="3">
        <v>45438</v>
      </c>
      <c r="B461" t="s">
        <v>714</v>
      </c>
      <c r="C461" t="s">
        <v>1121</v>
      </c>
      <c r="D461" t="s">
        <v>1345</v>
      </c>
      <c r="E461" t="s">
        <v>1347</v>
      </c>
      <c r="F461" t="s">
        <v>1355</v>
      </c>
      <c r="G461" t="s">
        <v>1372</v>
      </c>
      <c r="H461" s="5">
        <v>21</v>
      </c>
      <c r="I461" s="9">
        <v>3499</v>
      </c>
      <c r="J461" s="9">
        <f t="shared" si="7"/>
        <v>73479</v>
      </c>
      <c r="K461" t="s">
        <v>1379</v>
      </c>
      <c r="L461" t="s">
        <v>1384</v>
      </c>
    </row>
    <row r="462" spans="1:12" x14ac:dyDescent="0.25">
      <c r="A462" s="3">
        <v>45543</v>
      </c>
      <c r="B462" t="s">
        <v>899</v>
      </c>
      <c r="C462" t="s">
        <v>1196</v>
      </c>
      <c r="D462" t="s">
        <v>1345</v>
      </c>
      <c r="E462" t="s">
        <v>1349</v>
      </c>
      <c r="F462" t="s">
        <v>1355</v>
      </c>
      <c r="G462" t="s">
        <v>1372</v>
      </c>
      <c r="H462" s="5">
        <v>48</v>
      </c>
      <c r="I462" s="9">
        <v>1499</v>
      </c>
      <c r="J462" s="9">
        <f t="shared" si="7"/>
        <v>71952</v>
      </c>
      <c r="K462" t="s">
        <v>1379</v>
      </c>
      <c r="L462" t="s">
        <v>1384</v>
      </c>
    </row>
    <row r="463" spans="1:12" x14ac:dyDescent="0.25">
      <c r="A463" s="3">
        <v>45641</v>
      </c>
      <c r="B463" t="s">
        <v>26</v>
      </c>
      <c r="C463" t="s">
        <v>1038</v>
      </c>
      <c r="D463" t="s">
        <v>1344</v>
      </c>
      <c r="E463" t="s">
        <v>1347</v>
      </c>
      <c r="F463" t="s">
        <v>1353</v>
      </c>
      <c r="G463" t="s">
        <v>1367</v>
      </c>
      <c r="H463" s="5">
        <v>1</v>
      </c>
      <c r="I463" s="9">
        <v>3499</v>
      </c>
      <c r="J463" s="9">
        <f t="shared" si="7"/>
        <v>3499</v>
      </c>
      <c r="K463" t="s">
        <v>1378</v>
      </c>
      <c r="L463" t="s">
        <v>1384</v>
      </c>
    </row>
    <row r="464" spans="1:12" x14ac:dyDescent="0.25">
      <c r="A464" s="3">
        <v>45394</v>
      </c>
      <c r="B464" t="s">
        <v>63</v>
      </c>
      <c r="C464" t="s">
        <v>1069</v>
      </c>
      <c r="D464" t="s">
        <v>1344</v>
      </c>
      <c r="E464" t="s">
        <v>1346</v>
      </c>
      <c r="F464" t="s">
        <v>1351</v>
      </c>
      <c r="G464" t="s">
        <v>1371</v>
      </c>
      <c r="H464" s="5">
        <v>4</v>
      </c>
      <c r="I464" s="9">
        <v>1999</v>
      </c>
      <c r="J464" s="9">
        <f t="shared" si="7"/>
        <v>7996</v>
      </c>
      <c r="K464" t="s">
        <v>1379</v>
      </c>
      <c r="L464" t="s">
        <v>1380</v>
      </c>
    </row>
    <row r="465" spans="1:12" x14ac:dyDescent="0.25">
      <c r="A465" s="3">
        <v>45390</v>
      </c>
      <c r="B465" t="s">
        <v>719</v>
      </c>
      <c r="C465" t="s">
        <v>1321</v>
      </c>
      <c r="D465" t="s">
        <v>1389</v>
      </c>
      <c r="E465" t="s">
        <v>1346</v>
      </c>
      <c r="F465" t="s">
        <v>1351</v>
      </c>
      <c r="G465" t="s">
        <v>1356</v>
      </c>
      <c r="H465" s="5">
        <v>5</v>
      </c>
      <c r="I465" s="9">
        <v>999</v>
      </c>
      <c r="J465" s="9">
        <f t="shared" si="7"/>
        <v>4995</v>
      </c>
      <c r="K465" t="s">
        <v>1379</v>
      </c>
      <c r="L465" t="s">
        <v>1382</v>
      </c>
    </row>
    <row r="466" spans="1:12" x14ac:dyDescent="0.25">
      <c r="A466" s="3">
        <v>45641</v>
      </c>
      <c r="B466" t="s">
        <v>841</v>
      </c>
      <c r="C466" t="s">
        <v>1175</v>
      </c>
      <c r="D466" t="s">
        <v>1345</v>
      </c>
      <c r="E466" t="s">
        <v>1350</v>
      </c>
      <c r="F466" t="s">
        <v>1353</v>
      </c>
      <c r="G466" t="s">
        <v>1367</v>
      </c>
      <c r="H466" s="5">
        <v>43</v>
      </c>
      <c r="I466" s="9">
        <v>1499</v>
      </c>
      <c r="J466" s="9">
        <f t="shared" si="7"/>
        <v>64457</v>
      </c>
      <c r="K466" t="s">
        <v>1378</v>
      </c>
      <c r="L466" t="s">
        <v>1381</v>
      </c>
    </row>
    <row r="467" spans="1:12" x14ac:dyDescent="0.25">
      <c r="A467" s="3">
        <v>45325</v>
      </c>
      <c r="B467" t="s">
        <v>973</v>
      </c>
      <c r="C467" t="s">
        <v>1239</v>
      </c>
      <c r="D467" t="s">
        <v>1344</v>
      </c>
      <c r="E467" t="s">
        <v>1347</v>
      </c>
      <c r="F467" t="s">
        <v>1354</v>
      </c>
      <c r="G467" t="s">
        <v>1363</v>
      </c>
      <c r="H467" s="5">
        <v>25</v>
      </c>
      <c r="I467" s="9">
        <v>199</v>
      </c>
      <c r="J467" s="9">
        <f t="shared" si="7"/>
        <v>4975</v>
      </c>
      <c r="K467" t="s">
        <v>1379</v>
      </c>
      <c r="L467" t="s">
        <v>1384</v>
      </c>
    </row>
    <row r="468" spans="1:12" x14ac:dyDescent="0.25">
      <c r="A468" s="3">
        <v>45442</v>
      </c>
      <c r="B468" t="s">
        <v>483</v>
      </c>
      <c r="C468" t="s">
        <v>1280</v>
      </c>
      <c r="D468" t="s">
        <v>1389</v>
      </c>
      <c r="E468" t="s">
        <v>1347</v>
      </c>
      <c r="F468" t="s">
        <v>1353</v>
      </c>
      <c r="G468" t="s">
        <v>1367</v>
      </c>
      <c r="H468" s="5">
        <v>29</v>
      </c>
      <c r="I468" s="9">
        <v>1999</v>
      </c>
      <c r="J468" s="9">
        <f t="shared" si="7"/>
        <v>57971</v>
      </c>
      <c r="K468" t="s">
        <v>1379</v>
      </c>
      <c r="L468" t="s">
        <v>1384</v>
      </c>
    </row>
    <row r="469" spans="1:12" x14ac:dyDescent="0.25">
      <c r="A469" s="3">
        <v>45549</v>
      </c>
      <c r="B469" t="s">
        <v>433</v>
      </c>
      <c r="C469" t="s">
        <v>1261</v>
      </c>
      <c r="D469" t="s">
        <v>1345</v>
      </c>
      <c r="E469" t="s">
        <v>1349</v>
      </c>
      <c r="F469" t="s">
        <v>1353</v>
      </c>
      <c r="G469" t="s">
        <v>1365</v>
      </c>
      <c r="H469" s="5">
        <v>15</v>
      </c>
      <c r="I469" s="9">
        <v>2499</v>
      </c>
      <c r="J469" s="9">
        <f t="shared" si="7"/>
        <v>37485</v>
      </c>
      <c r="K469" t="s">
        <v>1379</v>
      </c>
      <c r="L469" t="s">
        <v>1380</v>
      </c>
    </row>
    <row r="470" spans="1:12" x14ac:dyDescent="0.25">
      <c r="A470" s="3">
        <v>45409</v>
      </c>
      <c r="B470" t="s">
        <v>263</v>
      </c>
      <c r="C470" t="s">
        <v>1192</v>
      </c>
      <c r="D470" t="s">
        <v>1345</v>
      </c>
      <c r="E470" t="s">
        <v>1347</v>
      </c>
      <c r="F470" t="s">
        <v>1354</v>
      </c>
      <c r="G470" t="s">
        <v>1363</v>
      </c>
      <c r="H470" s="5">
        <v>7</v>
      </c>
      <c r="I470" s="9">
        <v>1999</v>
      </c>
      <c r="J470" s="9">
        <f t="shared" si="7"/>
        <v>13993</v>
      </c>
      <c r="K470" t="s">
        <v>1379</v>
      </c>
      <c r="L470" t="s">
        <v>1383</v>
      </c>
    </row>
    <row r="471" spans="1:12" x14ac:dyDescent="0.25">
      <c r="A471" s="3">
        <v>45418</v>
      </c>
      <c r="B471" t="s">
        <v>1005</v>
      </c>
      <c r="C471" t="s">
        <v>1126</v>
      </c>
      <c r="D471" t="s">
        <v>1344</v>
      </c>
      <c r="E471" t="s">
        <v>1350</v>
      </c>
      <c r="F471" t="s">
        <v>1351</v>
      </c>
      <c r="G471" t="s">
        <v>1370</v>
      </c>
      <c r="H471" s="5">
        <v>6</v>
      </c>
      <c r="I471" s="9">
        <v>999</v>
      </c>
      <c r="J471" s="9">
        <f t="shared" si="7"/>
        <v>5994</v>
      </c>
      <c r="K471" t="s">
        <v>1379</v>
      </c>
      <c r="L471" t="s">
        <v>1384</v>
      </c>
    </row>
    <row r="472" spans="1:12" x14ac:dyDescent="0.25">
      <c r="A472" s="3">
        <v>45486</v>
      </c>
      <c r="B472" t="s">
        <v>227</v>
      </c>
      <c r="C472" t="s">
        <v>1177</v>
      </c>
      <c r="D472" t="s">
        <v>1344</v>
      </c>
      <c r="E472" t="s">
        <v>1350</v>
      </c>
      <c r="F472" t="s">
        <v>1355</v>
      </c>
      <c r="G472" t="s">
        <v>1374</v>
      </c>
      <c r="H472" s="5">
        <v>31</v>
      </c>
      <c r="I472" s="9">
        <v>2999</v>
      </c>
      <c r="J472" s="9">
        <f t="shared" si="7"/>
        <v>92969</v>
      </c>
      <c r="K472" t="s">
        <v>1379</v>
      </c>
      <c r="L472" t="s">
        <v>1380</v>
      </c>
    </row>
    <row r="473" spans="1:12" x14ac:dyDescent="0.25">
      <c r="A473" s="3">
        <v>45568</v>
      </c>
      <c r="B473" t="s">
        <v>920</v>
      </c>
      <c r="C473" t="s">
        <v>1231</v>
      </c>
      <c r="D473" t="s">
        <v>1389</v>
      </c>
      <c r="E473" t="s">
        <v>1347</v>
      </c>
      <c r="F473" t="s">
        <v>1355</v>
      </c>
      <c r="G473" t="s">
        <v>1373</v>
      </c>
      <c r="H473" s="5">
        <v>10</v>
      </c>
      <c r="I473" s="9">
        <v>999</v>
      </c>
      <c r="J473" s="9">
        <f t="shared" si="7"/>
        <v>9990</v>
      </c>
      <c r="K473" t="s">
        <v>1379</v>
      </c>
      <c r="L473" t="s">
        <v>1382</v>
      </c>
    </row>
    <row r="474" spans="1:12" x14ac:dyDescent="0.25">
      <c r="A474" s="3">
        <v>45632</v>
      </c>
      <c r="B474" t="s">
        <v>186</v>
      </c>
      <c r="C474" t="s">
        <v>1150</v>
      </c>
      <c r="D474" t="s">
        <v>1345</v>
      </c>
      <c r="E474" t="s">
        <v>1346</v>
      </c>
      <c r="F474" t="s">
        <v>1352</v>
      </c>
      <c r="G474" t="s">
        <v>1358</v>
      </c>
      <c r="H474" s="5">
        <v>32</v>
      </c>
      <c r="I474" s="9">
        <v>199</v>
      </c>
      <c r="J474" s="9">
        <f t="shared" si="7"/>
        <v>6368</v>
      </c>
      <c r="K474" t="s">
        <v>1377</v>
      </c>
      <c r="L474" t="s">
        <v>1380</v>
      </c>
    </row>
    <row r="475" spans="1:12" x14ac:dyDescent="0.25">
      <c r="A475" s="3">
        <v>45518</v>
      </c>
      <c r="B475" t="s">
        <v>556</v>
      </c>
      <c r="C475" t="s">
        <v>1189</v>
      </c>
      <c r="D475" t="s">
        <v>1344</v>
      </c>
      <c r="E475" t="s">
        <v>1349</v>
      </c>
      <c r="F475" t="s">
        <v>1355</v>
      </c>
      <c r="G475" t="s">
        <v>1372</v>
      </c>
      <c r="H475" s="5">
        <v>41</v>
      </c>
      <c r="I475" s="9">
        <v>199</v>
      </c>
      <c r="J475" s="9">
        <f t="shared" si="7"/>
        <v>8159</v>
      </c>
      <c r="K475" t="s">
        <v>1376</v>
      </c>
      <c r="L475" t="s">
        <v>1384</v>
      </c>
    </row>
    <row r="476" spans="1:12" x14ac:dyDescent="0.25">
      <c r="A476" s="3">
        <v>45526</v>
      </c>
      <c r="B476" t="s">
        <v>274</v>
      </c>
      <c r="C476" t="s">
        <v>1099</v>
      </c>
      <c r="D476" t="s">
        <v>1344</v>
      </c>
      <c r="E476" t="s">
        <v>1349</v>
      </c>
      <c r="F476" t="s">
        <v>1351</v>
      </c>
      <c r="G476" t="s">
        <v>1356</v>
      </c>
      <c r="H476" s="5">
        <v>4</v>
      </c>
      <c r="I476" s="9">
        <v>499</v>
      </c>
      <c r="J476" s="9">
        <f t="shared" si="7"/>
        <v>1996</v>
      </c>
      <c r="K476" t="s">
        <v>1379</v>
      </c>
      <c r="L476" t="s">
        <v>1382</v>
      </c>
    </row>
    <row r="477" spans="1:12" x14ac:dyDescent="0.25">
      <c r="A477" s="3">
        <v>45306</v>
      </c>
      <c r="B477" t="s">
        <v>839</v>
      </c>
      <c r="C477" t="s">
        <v>1144</v>
      </c>
      <c r="D477" t="s">
        <v>1345</v>
      </c>
      <c r="E477" t="s">
        <v>1349</v>
      </c>
      <c r="F477" t="s">
        <v>1355</v>
      </c>
      <c r="G477" t="s">
        <v>1373</v>
      </c>
      <c r="H477" s="5">
        <v>30</v>
      </c>
      <c r="I477" s="9">
        <v>499</v>
      </c>
      <c r="J477" s="9">
        <f t="shared" si="7"/>
        <v>14970</v>
      </c>
      <c r="K477" t="s">
        <v>1378</v>
      </c>
      <c r="L477" t="s">
        <v>1384</v>
      </c>
    </row>
    <row r="478" spans="1:12" x14ac:dyDescent="0.25">
      <c r="A478" s="3">
        <v>45525</v>
      </c>
      <c r="B478" t="s">
        <v>478</v>
      </c>
      <c r="C478" t="s">
        <v>1043</v>
      </c>
      <c r="D478" t="s">
        <v>1344</v>
      </c>
      <c r="E478" t="s">
        <v>1349</v>
      </c>
      <c r="F478" t="s">
        <v>1352</v>
      </c>
      <c r="G478" t="s">
        <v>1375</v>
      </c>
      <c r="H478" s="5">
        <v>2</v>
      </c>
      <c r="I478" s="9">
        <v>499</v>
      </c>
      <c r="J478" s="9">
        <f t="shared" si="7"/>
        <v>998</v>
      </c>
      <c r="K478" t="s">
        <v>1377</v>
      </c>
      <c r="L478" t="s">
        <v>1380</v>
      </c>
    </row>
    <row r="479" spans="1:12" x14ac:dyDescent="0.25">
      <c r="A479" s="3">
        <v>45328</v>
      </c>
      <c r="B479" t="s">
        <v>795</v>
      </c>
      <c r="C479" t="s">
        <v>1200</v>
      </c>
      <c r="D479" t="s">
        <v>1345</v>
      </c>
      <c r="E479" t="s">
        <v>1347</v>
      </c>
      <c r="F479" t="s">
        <v>1355</v>
      </c>
      <c r="G479" t="s">
        <v>1373</v>
      </c>
      <c r="H479" s="5">
        <v>4</v>
      </c>
      <c r="I479" s="9">
        <v>999</v>
      </c>
      <c r="J479" s="9">
        <f t="shared" si="7"/>
        <v>3996</v>
      </c>
      <c r="K479" t="s">
        <v>1378</v>
      </c>
      <c r="L479" t="s">
        <v>1384</v>
      </c>
    </row>
    <row r="480" spans="1:12" x14ac:dyDescent="0.25">
      <c r="A480" s="3">
        <v>45462</v>
      </c>
      <c r="B480" t="s">
        <v>146</v>
      </c>
      <c r="C480" t="s">
        <v>1128</v>
      </c>
      <c r="D480" t="s">
        <v>1344</v>
      </c>
      <c r="E480" t="s">
        <v>1347</v>
      </c>
      <c r="F480" t="s">
        <v>1354</v>
      </c>
      <c r="G480" t="s">
        <v>1363</v>
      </c>
      <c r="H480" s="5">
        <v>35</v>
      </c>
      <c r="I480" s="9">
        <v>999</v>
      </c>
      <c r="J480" s="9">
        <f t="shared" si="7"/>
        <v>34965</v>
      </c>
      <c r="K480" t="s">
        <v>1377</v>
      </c>
      <c r="L480" t="s">
        <v>1384</v>
      </c>
    </row>
    <row r="481" spans="1:12" x14ac:dyDescent="0.25">
      <c r="A481" s="3">
        <v>45424</v>
      </c>
      <c r="B481" t="s">
        <v>705</v>
      </c>
      <c r="C481" t="s">
        <v>1073</v>
      </c>
      <c r="D481" t="s">
        <v>1389</v>
      </c>
      <c r="E481" t="s">
        <v>1348</v>
      </c>
      <c r="F481" t="s">
        <v>1354</v>
      </c>
      <c r="G481" t="s">
        <v>1362</v>
      </c>
      <c r="H481" s="5">
        <v>0</v>
      </c>
      <c r="I481" s="9">
        <v>499</v>
      </c>
      <c r="J481" s="9">
        <f t="shared" si="7"/>
        <v>0</v>
      </c>
      <c r="K481" t="s">
        <v>1379</v>
      </c>
      <c r="L481" t="s">
        <v>1384</v>
      </c>
    </row>
    <row r="482" spans="1:12" x14ac:dyDescent="0.25">
      <c r="A482" s="3">
        <v>45317</v>
      </c>
      <c r="B482" t="s">
        <v>624</v>
      </c>
      <c r="C482" t="s">
        <v>1308</v>
      </c>
      <c r="D482" t="s">
        <v>1345</v>
      </c>
      <c r="E482" t="s">
        <v>1349</v>
      </c>
      <c r="F482" t="s">
        <v>1355</v>
      </c>
      <c r="G482" t="s">
        <v>1360</v>
      </c>
      <c r="H482" s="5">
        <v>20</v>
      </c>
      <c r="I482" s="9">
        <v>999</v>
      </c>
      <c r="J482" s="9">
        <f t="shared" si="7"/>
        <v>19980</v>
      </c>
      <c r="K482" t="s">
        <v>1379</v>
      </c>
      <c r="L482" t="s">
        <v>1381</v>
      </c>
    </row>
    <row r="483" spans="1:12" x14ac:dyDescent="0.25">
      <c r="A483" s="3">
        <v>45550</v>
      </c>
      <c r="B483" t="s">
        <v>896</v>
      </c>
      <c r="C483" t="s">
        <v>1038</v>
      </c>
      <c r="D483" t="s">
        <v>1389</v>
      </c>
      <c r="E483" t="s">
        <v>1349</v>
      </c>
      <c r="F483" t="s">
        <v>1351</v>
      </c>
      <c r="G483" t="s">
        <v>1370</v>
      </c>
      <c r="H483" s="5">
        <v>42</v>
      </c>
      <c r="I483" s="9">
        <v>2999</v>
      </c>
      <c r="J483" s="9">
        <f t="shared" si="7"/>
        <v>125958</v>
      </c>
      <c r="K483" t="s">
        <v>1379</v>
      </c>
      <c r="L483" t="s">
        <v>1384</v>
      </c>
    </row>
    <row r="484" spans="1:12" x14ac:dyDescent="0.25">
      <c r="A484" s="3">
        <v>45551</v>
      </c>
      <c r="B484" t="s">
        <v>148</v>
      </c>
      <c r="C484" t="s">
        <v>1129</v>
      </c>
      <c r="D484" t="s">
        <v>1389</v>
      </c>
      <c r="E484" t="s">
        <v>1347</v>
      </c>
      <c r="F484" t="s">
        <v>1354</v>
      </c>
      <c r="G484" t="s">
        <v>1363</v>
      </c>
      <c r="H484" s="5">
        <v>17</v>
      </c>
      <c r="I484" s="9">
        <v>3499</v>
      </c>
      <c r="J484" s="9">
        <f t="shared" si="7"/>
        <v>59483</v>
      </c>
      <c r="K484" t="s">
        <v>1379</v>
      </c>
      <c r="L484" t="s">
        <v>1382</v>
      </c>
    </row>
    <row r="485" spans="1:12" x14ac:dyDescent="0.25">
      <c r="A485" s="3">
        <v>45296</v>
      </c>
      <c r="B485" t="s">
        <v>623</v>
      </c>
      <c r="C485" t="s">
        <v>1049</v>
      </c>
      <c r="D485" t="s">
        <v>1344</v>
      </c>
      <c r="E485" t="s">
        <v>1349</v>
      </c>
      <c r="F485" t="s">
        <v>1354</v>
      </c>
      <c r="G485" t="s">
        <v>1366</v>
      </c>
      <c r="H485" s="5">
        <v>14</v>
      </c>
      <c r="I485" s="9">
        <v>499</v>
      </c>
      <c r="J485" s="9">
        <f t="shared" si="7"/>
        <v>6986</v>
      </c>
      <c r="K485" t="s">
        <v>1379</v>
      </c>
      <c r="L485" t="s">
        <v>1380</v>
      </c>
    </row>
    <row r="486" spans="1:12" x14ac:dyDescent="0.25">
      <c r="A486" s="3">
        <v>45294</v>
      </c>
      <c r="B486" t="s">
        <v>573</v>
      </c>
      <c r="C486" t="s">
        <v>1295</v>
      </c>
      <c r="D486" t="s">
        <v>1345</v>
      </c>
      <c r="E486" t="s">
        <v>1348</v>
      </c>
      <c r="F486" t="s">
        <v>1352</v>
      </c>
      <c r="G486" t="s">
        <v>1375</v>
      </c>
      <c r="H486" s="5">
        <v>37</v>
      </c>
      <c r="I486" s="9">
        <v>1999</v>
      </c>
      <c r="J486" s="9">
        <f t="shared" si="7"/>
        <v>73963</v>
      </c>
      <c r="K486" t="s">
        <v>1376</v>
      </c>
      <c r="L486" t="s">
        <v>1384</v>
      </c>
    </row>
    <row r="487" spans="1:12" x14ac:dyDescent="0.25">
      <c r="A487" s="3">
        <v>45571</v>
      </c>
      <c r="B487" t="s">
        <v>193</v>
      </c>
      <c r="C487" t="s">
        <v>1047</v>
      </c>
      <c r="D487" t="s">
        <v>1344</v>
      </c>
      <c r="E487" t="s">
        <v>1350</v>
      </c>
      <c r="F487" t="s">
        <v>1353</v>
      </c>
      <c r="G487" t="s">
        <v>1359</v>
      </c>
      <c r="H487" s="5">
        <v>5</v>
      </c>
      <c r="I487" s="9">
        <v>199</v>
      </c>
      <c r="J487" s="9">
        <f t="shared" si="7"/>
        <v>995</v>
      </c>
      <c r="K487" t="s">
        <v>1379</v>
      </c>
      <c r="L487" t="s">
        <v>1382</v>
      </c>
    </row>
    <row r="488" spans="1:12" x14ac:dyDescent="0.25">
      <c r="A488" s="3">
        <v>45555</v>
      </c>
      <c r="B488" t="s">
        <v>632</v>
      </c>
      <c r="C488" t="s">
        <v>1193</v>
      </c>
      <c r="D488" t="s">
        <v>1344</v>
      </c>
      <c r="E488" t="s">
        <v>1348</v>
      </c>
      <c r="F488" t="s">
        <v>1351</v>
      </c>
      <c r="G488" t="s">
        <v>1356</v>
      </c>
      <c r="H488" s="5">
        <v>8</v>
      </c>
      <c r="I488" s="9">
        <v>1878</v>
      </c>
      <c r="J488" s="9">
        <f t="shared" si="7"/>
        <v>15024</v>
      </c>
      <c r="K488" t="s">
        <v>1379</v>
      </c>
      <c r="L488" t="s">
        <v>1381</v>
      </c>
    </row>
    <row r="489" spans="1:12" x14ac:dyDescent="0.25">
      <c r="A489" s="3">
        <v>45544</v>
      </c>
      <c r="B489" t="s">
        <v>1019</v>
      </c>
      <c r="C489" t="s">
        <v>1334</v>
      </c>
      <c r="D489" t="s">
        <v>1345</v>
      </c>
      <c r="E489" t="s">
        <v>1349</v>
      </c>
      <c r="F489" t="s">
        <v>1352</v>
      </c>
      <c r="G489" t="s">
        <v>1364</v>
      </c>
      <c r="H489" s="5">
        <v>2</v>
      </c>
      <c r="I489" s="9">
        <v>1624</v>
      </c>
      <c r="J489" s="9">
        <f t="shared" si="7"/>
        <v>3248</v>
      </c>
      <c r="K489" t="s">
        <v>1379</v>
      </c>
      <c r="L489" t="s">
        <v>1383</v>
      </c>
    </row>
    <row r="490" spans="1:12" x14ac:dyDescent="0.25">
      <c r="A490" s="3">
        <v>45381</v>
      </c>
      <c r="B490" t="s">
        <v>812</v>
      </c>
      <c r="C490" t="s">
        <v>1234</v>
      </c>
      <c r="D490" t="s">
        <v>1345</v>
      </c>
      <c r="E490" t="s">
        <v>1349</v>
      </c>
      <c r="F490" t="s">
        <v>1352</v>
      </c>
      <c r="G490" t="s">
        <v>1375</v>
      </c>
      <c r="H490" s="5">
        <v>24</v>
      </c>
      <c r="I490" s="9">
        <v>1999</v>
      </c>
      <c r="J490" s="9">
        <f t="shared" si="7"/>
        <v>47976</v>
      </c>
      <c r="K490" t="s">
        <v>1377</v>
      </c>
      <c r="L490" t="s">
        <v>1380</v>
      </c>
    </row>
    <row r="491" spans="1:12" x14ac:dyDescent="0.25">
      <c r="A491" s="3">
        <v>45483</v>
      </c>
      <c r="B491" t="s">
        <v>605</v>
      </c>
      <c r="C491" t="s">
        <v>1026</v>
      </c>
      <c r="D491" t="s">
        <v>1389</v>
      </c>
      <c r="E491" t="s">
        <v>1349</v>
      </c>
      <c r="F491" t="s">
        <v>1352</v>
      </c>
      <c r="G491" t="s">
        <v>1364</v>
      </c>
      <c r="H491" s="5">
        <v>27</v>
      </c>
      <c r="I491" s="9">
        <v>199</v>
      </c>
      <c r="J491" s="9">
        <f t="shared" si="7"/>
        <v>5373</v>
      </c>
      <c r="K491" t="s">
        <v>1377</v>
      </c>
      <c r="L491" t="s">
        <v>1383</v>
      </c>
    </row>
    <row r="492" spans="1:12" x14ac:dyDescent="0.25">
      <c r="A492" s="3">
        <v>45613</v>
      </c>
      <c r="B492" t="s">
        <v>449</v>
      </c>
      <c r="C492" t="s">
        <v>1266</v>
      </c>
      <c r="D492" t="s">
        <v>1344</v>
      </c>
      <c r="E492" t="s">
        <v>1347</v>
      </c>
      <c r="F492" t="s">
        <v>1351</v>
      </c>
      <c r="G492" t="s">
        <v>1371</v>
      </c>
      <c r="H492" s="5">
        <v>1</v>
      </c>
      <c r="I492" s="9">
        <v>499</v>
      </c>
      <c r="J492" s="9">
        <f t="shared" si="7"/>
        <v>499</v>
      </c>
      <c r="K492" t="s">
        <v>1379</v>
      </c>
      <c r="L492" t="s">
        <v>1380</v>
      </c>
    </row>
    <row r="493" spans="1:12" x14ac:dyDescent="0.25">
      <c r="A493" s="3">
        <v>45534</v>
      </c>
      <c r="B493" t="s">
        <v>890</v>
      </c>
      <c r="C493" t="s">
        <v>1156</v>
      </c>
      <c r="D493" t="s">
        <v>1389</v>
      </c>
      <c r="E493" t="s">
        <v>1349</v>
      </c>
      <c r="F493" t="s">
        <v>1354</v>
      </c>
      <c r="G493" t="s">
        <v>1366</v>
      </c>
      <c r="H493" s="5">
        <v>1</v>
      </c>
      <c r="I493" s="9">
        <v>1749</v>
      </c>
      <c r="J493" s="9">
        <f t="shared" si="7"/>
        <v>1749</v>
      </c>
      <c r="K493" t="s">
        <v>1377</v>
      </c>
      <c r="L493" t="s">
        <v>1382</v>
      </c>
    </row>
    <row r="494" spans="1:12" x14ac:dyDescent="0.25">
      <c r="A494" s="3">
        <v>45639</v>
      </c>
      <c r="B494" t="s">
        <v>292</v>
      </c>
      <c r="C494" t="s">
        <v>1154</v>
      </c>
      <c r="D494" t="s">
        <v>1345</v>
      </c>
      <c r="E494" t="s">
        <v>1349</v>
      </c>
      <c r="F494" t="s">
        <v>1353</v>
      </c>
      <c r="G494" t="s">
        <v>1359</v>
      </c>
      <c r="H494" s="5">
        <v>11</v>
      </c>
      <c r="I494" s="9">
        <v>2499</v>
      </c>
      <c r="J494" s="9">
        <f t="shared" si="7"/>
        <v>27489</v>
      </c>
      <c r="K494" t="s">
        <v>1376</v>
      </c>
      <c r="L494" t="s">
        <v>1384</v>
      </c>
    </row>
    <row r="495" spans="1:12" x14ac:dyDescent="0.25">
      <c r="A495" s="3">
        <v>45314</v>
      </c>
      <c r="B495" t="s">
        <v>76</v>
      </c>
      <c r="C495" t="s">
        <v>1081</v>
      </c>
      <c r="D495" t="s">
        <v>1344</v>
      </c>
      <c r="E495" t="s">
        <v>1346</v>
      </c>
      <c r="F495" t="s">
        <v>1351</v>
      </c>
      <c r="G495" t="s">
        <v>1357</v>
      </c>
      <c r="H495" s="5">
        <v>37</v>
      </c>
      <c r="I495" s="9">
        <v>199</v>
      </c>
      <c r="J495" s="9">
        <f t="shared" si="7"/>
        <v>7363</v>
      </c>
      <c r="K495" t="s">
        <v>1379</v>
      </c>
      <c r="L495" t="s">
        <v>1381</v>
      </c>
    </row>
    <row r="496" spans="1:12" x14ac:dyDescent="0.25">
      <c r="A496" s="3">
        <v>45377</v>
      </c>
      <c r="B496" t="s">
        <v>15</v>
      </c>
      <c r="C496" t="s">
        <v>1027</v>
      </c>
      <c r="D496" t="s">
        <v>1389</v>
      </c>
      <c r="E496" t="s">
        <v>1347</v>
      </c>
      <c r="F496" t="s">
        <v>1351</v>
      </c>
      <c r="G496" t="s">
        <v>1357</v>
      </c>
      <c r="H496" s="5">
        <v>40</v>
      </c>
      <c r="I496" s="9">
        <v>1878</v>
      </c>
      <c r="J496" s="9">
        <f t="shared" si="7"/>
        <v>75120</v>
      </c>
      <c r="K496" t="s">
        <v>1377</v>
      </c>
      <c r="L496" t="s">
        <v>1381</v>
      </c>
    </row>
    <row r="497" spans="1:12" x14ac:dyDescent="0.25">
      <c r="A497" s="3">
        <v>45343</v>
      </c>
      <c r="B497" t="s">
        <v>601</v>
      </c>
      <c r="C497" t="s">
        <v>1114</v>
      </c>
      <c r="D497" t="s">
        <v>1344</v>
      </c>
      <c r="E497" t="s">
        <v>1350</v>
      </c>
      <c r="F497" t="s">
        <v>1352</v>
      </c>
      <c r="G497" t="s">
        <v>1364</v>
      </c>
      <c r="H497" s="5">
        <v>26</v>
      </c>
      <c r="I497" s="9">
        <v>999</v>
      </c>
      <c r="J497" s="9">
        <f t="shared" si="7"/>
        <v>25974</v>
      </c>
      <c r="K497" t="s">
        <v>1379</v>
      </c>
      <c r="L497" t="s">
        <v>1380</v>
      </c>
    </row>
    <row r="498" spans="1:12" x14ac:dyDescent="0.25">
      <c r="A498" s="3">
        <v>45489</v>
      </c>
      <c r="B498" t="s">
        <v>98</v>
      </c>
      <c r="C498" t="s">
        <v>1098</v>
      </c>
      <c r="D498" t="s">
        <v>1389</v>
      </c>
      <c r="E498" t="s">
        <v>1349</v>
      </c>
      <c r="F498" t="s">
        <v>1351</v>
      </c>
      <c r="G498" t="s">
        <v>1356</v>
      </c>
      <c r="H498" s="5">
        <v>4</v>
      </c>
      <c r="I498" s="9">
        <v>1499</v>
      </c>
      <c r="J498" s="9">
        <f t="shared" si="7"/>
        <v>5996</v>
      </c>
      <c r="K498" t="s">
        <v>1377</v>
      </c>
      <c r="L498" t="s">
        <v>1381</v>
      </c>
    </row>
    <row r="499" spans="1:12" x14ac:dyDescent="0.25">
      <c r="A499" s="3">
        <v>45596</v>
      </c>
      <c r="B499" t="s">
        <v>474</v>
      </c>
      <c r="C499" t="s">
        <v>1230</v>
      </c>
      <c r="D499" t="s">
        <v>1389</v>
      </c>
      <c r="E499" t="s">
        <v>1350</v>
      </c>
      <c r="F499" t="s">
        <v>1351</v>
      </c>
      <c r="G499" t="s">
        <v>1357</v>
      </c>
      <c r="H499" s="5">
        <v>41</v>
      </c>
      <c r="I499" s="9">
        <v>499</v>
      </c>
      <c r="J499" s="9">
        <f t="shared" si="7"/>
        <v>20459</v>
      </c>
      <c r="K499" t="s">
        <v>1379</v>
      </c>
      <c r="L499" t="s">
        <v>1383</v>
      </c>
    </row>
    <row r="500" spans="1:12" x14ac:dyDescent="0.25">
      <c r="A500" s="3">
        <v>45519</v>
      </c>
      <c r="B500" t="s">
        <v>552</v>
      </c>
      <c r="C500" t="s">
        <v>1160</v>
      </c>
      <c r="D500" t="s">
        <v>1344</v>
      </c>
      <c r="E500" t="s">
        <v>1350</v>
      </c>
      <c r="F500" t="s">
        <v>1353</v>
      </c>
      <c r="G500" t="s">
        <v>1365</v>
      </c>
      <c r="H500" s="5">
        <v>46</v>
      </c>
      <c r="I500" s="9">
        <v>2999</v>
      </c>
      <c r="J500" s="9">
        <f t="shared" si="7"/>
        <v>137954</v>
      </c>
      <c r="K500" t="s">
        <v>1379</v>
      </c>
      <c r="L500" t="s">
        <v>1383</v>
      </c>
    </row>
    <row r="501" spans="1:12" x14ac:dyDescent="0.25">
      <c r="A501" s="3">
        <v>45335</v>
      </c>
      <c r="B501" t="s">
        <v>170</v>
      </c>
      <c r="C501" t="s">
        <v>1053</v>
      </c>
      <c r="D501" t="s">
        <v>1389</v>
      </c>
      <c r="E501" t="s">
        <v>1349</v>
      </c>
      <c r="F501" t="s">
        <v>1354</v>
      </c>
      <c r="G501" t="s">
        <v>1361</v>
      </c>
      <c r="H501" s="5">
        <v>26</v>
      </c>
      <c r="I501" s="9">
        <v>1999</v>
      </c>
      <c r="J501" s="9">
        <f t="shared" si="7"/>
        <v>51974</v>
      </c>
      <c r="K501" t="s">
        <v>1379</v>
      </c>
      <c r="L501" t="s">
        <v>1382</v>
      </c>
    </row>
    <row r="502" spans="1:12" x14ac:dyDescent="0.25">
      <c r="A502" s="3">
        <v>45443</v>
      </c>
      <c r="B502" t="s">
        <v>352</v>
      </c>
      <c r="C502" t="s">
        <v>1232</v>
      </c>
      <c r="D502" t="s">
        <v>1344</v>
      </c>
      <c r="E502" t="s">
        <v>1346</v>
      </c>
      <c r="F502" t="s">
        <v>1355</v>
      </c>
      <c r="G502" t="s">
        <v>1373</v>
      </c>
      <c r="H502" s="5">
        <v>5</v>
      </c>
      <c r="I502" s="9">
        <v>1999</v>
      </c>
      <c r="J502" s="9">
        <f t="shared" si="7"/>
        <v>9995</v>
      </c>
      <c r="K502" t="s">
        <v>1379</v>
      </c>
      <c r="L502" t="s">
        <v>1382</v>
      </c>
    </row>
    <row r="503" spans="1:12" x14ac:dyDescent="0.25">
      <c r="A503" s="3">
        <v>45404</v>
      </c>
      <c r="B503" t="s">
        <v>690</v>
      </c>
      <c r="C503" t="s">
        <v>1140</v>
      </c>
      <c r="D503" t="s">
        <v>1345</v>
      </c>
      <c r="E503" t="s">
        <v>1349</v>
      </c>
      <c r="F503" t="s">
        <v>1351</v>
      </c>
      <c r="G503" t="s">
        <v>1371</v>
      </c>
      <c r="H503" s="5">
        <v>43</v>
      </c>
      <c r="I503" s="9">
        <v>3499</v>
      </c>
      <c r="J503" s="9">
        <f t="shared" si="7"/>
        <v>150457</v>
      </c>
      <c r="K503" t="s">
        <v>1379</v>
      </c>
      <c r="L503" t="s">
        <v>1382</v>
      </c>
    </row>
    <row r="504" spans="1:12" x14ac:dyDescent="0.25">
      <c r="A504" s="3">
        <v>45292</v>
      </c>
      <c r="B504" t="s">
        <v>210</v>
      </c>
      <c r="C504" t="s">
        <v>1165</v>
      </c>
      <c r="D504" t="s">
        <v>1344</v>
      </c>
      <c r="E504" t="s">
        <v>1347</v>
      </c>
      <c r="F504" t="s">
        <v>1354</v>
      </c>
      <c r="G504" t="s">
        <v>1361</v>
      </c>
      <c r="H504" s="5">
        <v>13</v>
      </c>
      <c r="I504" s="9">
        <v>999</v>
      </c>
      <c r="J504" s="9">
        <f t="shared" si="7"/>
        <v>12987</v>
      </c>
      <c r="K504" t="s">
        <v>1379</v>
      </c>
      <c r="L504" t="s">
        <v>1383</v>
      </c>
    </row>
    <row r="505" spans="1:12" x14ac:dyDescent="0.25">
      <c r="A505" s="3">
        <v>45478</v>
      </c>
      <c r="B505" t="s">
        <v>459</v>
      </c>
      <c r="C505" t="s">
        <v>1259</v>
      </c>
      <c r="D505" t="s">
        <v>1344</v>
      </c>
      <c r="E505" t="s">
        <v>1349</v>
      </c>
      <c r="F505" t="s">
        <v>1353</v>
      </c>
      <c r="G505" t="s">
        <v>1365</v>
      </c>
      <c r="H505" s="5">
        <v>27</v>
      </c>
      <c r="I505" s="9">
        <v>1499</v>
      </c>
      <c r="J505" s="9">
        <f t="shared" si="7"/>
        <v>40473</v>
      </c>
      <c r="K505" t="s">
        <v>1376</v>
      </c>
      <c r="L505" t="s">
        <v>1384</v>
      </c>
    </row>
    <row r="506" spans="1:12" x14ac:dyDescent="0.25">
      <c r="A506" s="3">
        <v>45316</v>
      </c>
      <c r="B506" t="s">
        <v>341</v>
      </c>
      <c r="C506" t="s">
        <v>1225</v>
      </c>
      <c r="D506" t="s">
        <v>1345</v>
      </c>
      <c r="E506" t="s">
        <v>1349</v>
      </c>
      <c r="F506" t="s">
        <v>1354</v>
      </c>
      <c r="G506" t="s">
        <v>1363</v>
      </c>
      <c r="H506" s="5">
        <v>3</v>
      </c>
      <c r="I506" s="9">
        <v>2999</v>
      </c>
      <c r="J506" s="9">
        <f t="shared" si="7"/>
        <v>8997</v>
      </c>
      <c r="K506" t="s">
        <v>1377</v>
      </c>
      <c r="L506" t="s">
        <v>1384</v>
      </c>
    </row>
    <row r="507" spans="1:12" x14ac:dyDescent="0.25">
      <c r="A507" s="3">
        <v>45509</v>
      </c>
      <c r="B507" t="s">
        <v>219</v>
      </c>
      <c r="C507" t="s">
        <v>1171</v>
      </c>
      <c r="D507" t="s">
        <v>1345</v>
      </c>
      <c r="E507" t="s">
        <v>1346</v>
      </c>
      <c r="F507" t="s">
        <v>1352</v>
      </c>
      <c r="G507" t="s">
        <v>1364</v>
      </c>
      <c r="H507" s="5">
        <v>30</v>
      </c>
      <c r="I507" s="9">
        <v>499</v>
      </c>
      <c r="J507" s="9">
        <f t="shared" si="7"/>
        <v>14970</v>
      </c>
      <c r="K507" t="s">
        <v>1376</v>
      </c>
      <c r="L507" t="s">
        <v>1382</v>
      </c>
    </row>
    <row r="508" spans="1:12" x14ac:dyDescent="0.25">
      <c r="A508" s="3">
        <v>45538</v>
      </c>
      <c r="B508" t="s">
        <v>913</v>
      </c>
      <c r="C508" t="s">
        <v>1093</v>
      </c>
      <c r="D508" t="s">
        <v>1344</v>
      </c>
      <c r="E508" t="s">
        <v>1349</v>
      </c>
      <c r="F508" t="s">
        <v>1352</v>
      </c>
      <c r="G508" t="s">
        <v>1364</v>
      </c>
      <c r="H508" s="5">
        <v>21</v>
      </c>
      <c r="I508" s="9">
        <v>2499</v>
      </c>
      <c r="J508" s="9">
        <f t="shared" si="7"/>
        <v>52479</v>
      </c>
      <c r="K508" t="s">
        <v>1377</v>
      </c>
      <c r="L508" t="s">
        <v>1380</v>
      </c>
    </row>
    <row r="509" spans="1:12" x14ac:dyDescent="0.25">
      <c r="A509" s="3">
        <v>45439</v>
      </c>
      <c r="B509" t="s">
        <v>744</v>
      </c>
      <c r="C509" t="s">
        <v>1208</v>
      </c>
      <c r="D509" t="s">
        <v>1345</v>
      </c>
      <c r="E509" t="s">
        <v>1349</v>
      </c>
      <c r="F509" t="s">
        <v>1354</v>
      </c>
      <c r="G509" t="s">
        <v>1362</v>
      </c>
      <c r="H509" s="5">
        <v>18</v>
      </c>
      <c r="I509" s="9">
        <v>499</v>
      </c>
      <c r="J509" s="9">
        <f t="shared" si="7"/>
        <v>8982</v>
      </c>
      <c r="K509" t="s">
        <v>1379</v>
      </c>
      <c r="L509" t="s">
        <v>1384</v>
      </c>
    </row>
    <row r="510" spans="1:12" x14ac:dyDescent="0.25">
      <c r="A510" s="3">
        <v>45344</v>
      </c>
      <c r="B510" t="s">
        <v>933</v>
      </c>
      <c r="C510" t="s">
        <v>1220</v>
      </c>
      <c r="D510" t="s">
        <v>1345</v>
      </c>
      <c r="E510" t="s">
        <v>1349</v>
      </c>
      <c r="F510" t="s">
        <v>1354</v>
      </c>
      <c r="G510" t="s">
        <v>1361</v>
      </c>
      <c r="H510" s="5">
        <v>4</v>
      </c>
      <c r="I510" s="9">
        <v>999</v>
      </c>
      <c r="J510" s="9">
        <f t="shared" si="7"/>
        <v>3996</v>
      </c>
      <c r="K510" t="s">
        <v>1379</v>
      </c>
      <c r="L510" t="s">
        <v>1382</v>
      </c>
    </row>
    <row r="511" spans="1:12" x14ac:dyDescent="0.25">
      <c r="A511" s="3">
        <v>45642</v>
      </c>
      <c r="B511" t="s">
        <v>314</v>
      </c>
      <c r="C511" t="s">
        <v>1212</v>
      </c>
      <c r="D511" t="s">
        <v>1345</v>
      </c>
      <c r="E511" t="s">
        <v>1350</v>
      </c>
      <c r="F511" t="s">
        <v>1351</v>
      </c>
      <c r="G511" t="s">
        <v>1356</v>
      </c>
      <c r="H511" s="5">
        <v>8</v>
      </c>
      <c r="I511" s="9">
        <v>199</v>
      </c>
      <c r="J511" s="9">
        <f t="shared" si="7"/>
        <v>1592</v>
      </c>
      <c r="K511" t="s">
        <v>1378</v>
      </c>
      <c r="L511" t="s">
        <v>1384</v>
      </c>
    </row>
    <row r="512" spans="1:12" x14ac:dyDescent="0.25">
      <c r="A512" s="3">
        <v>45326</v>
      </c>
      <c r="B512" t="s">
        <v>644</v>
      </c>
      <c r="C512" t="s">
        <v>1040</v>
      </c>
      <c r="D512" t="s">
        <v>1389</v>
      </c>
      <c r="E512" t="s">
        <v>1347</v>
      </c>
      <c r="F512" t="s">
        <v>1352</v>
      </c>
      <c r="G512" t="s">
        <v>1358</v>
      </c>
      <c r="H512" s="5">
        <v>20</v>
      </c>
      <c r="I512" s="9">
        <v>1499</v>
      </c>
      <c r="J512" s="9">
        <f t="shared" si="7"/>
        <v>29980</v>
      </c>
      <c r="K512" t="s">
        <v>1377</v>
      </c>
      <c r="L512" t="s">
        <v>1380</v>
      </c>
    </row>
    <row r="513" spans="1:12" x14ac:dyDescent="0.25">
      <c r="A513" s="3">
        <v>45639</v>
      </c>
      <c r="B513" t="s">
        <v>117</v>
      </c>
      <c r="C513" t="s">
        <v>1111</v>
      </c>
      <c r="D513" t="s">
        <v>1345</v>
      </c>
      <c r="E513" t="s">
        <v>1350</v>
      </c>
      <c r="F513" t="s">
        <v>1355</v>
      </c>
      <c r="G513" t="s">
        <v>1360</v>
      </c>
      <c r="H513" s="5">
        <v>45</v>
      </c>
      <c r="I513" s="9">
        <v>1499</v>
      </c>
      <c r="J513" s="9">
        <f t="shared" si="7"/>
        <v>67455</v>
      </c>
      <c r="K513" t="s">
        <v>1379</v>
      </c>
      <c r="L513" t="s">
        <v>1384</v>
      </c>
    </row>
    <row r="514" spans="1:12" x14ac:dyDescent="0.25">
      <c r="A514" s="3">
        <v>45421</v>
      </c>
      <c r="B514" t="s">
        <v>542</v>
      </c>
      <c r="C514" t="s">
        <v>1230</v>
      </c>
      <c r="D514" t="s">
        <v>1344</v>
      </c>
      <c r="E514" t="s">
        <v>1350</v>
      </c>
      <c r="F514" t="s">
        <v>1351</v>
      </c>
      <c r="G514" t="s">
        <v>1356</v>
      </c>
      <c r="H514" s="5">
        <v>42</v>
      </c>
      <c r="I514" s="9">
        <v>999</v>
      </c>
      <c r="J514" s="9">
        <f t="shared" ref="J514:J577" si="8">H514*I514</f>
        <v>41958</v>
      </c>
      <c r="K514" t="s">
        <v>1379</v>
      </c>
      <c r="L514" t="s">
        <v>1382</v>
      </c>
    </row>
    <row r="515" spans="1:12" x14ac:dyDescent="0.25">
      <c r="A515" s="3">
        <v>45354</v>
      </c>
      <c r="B515" t="s">
        <v>771</v>
      </c>
      <c r="C515" t="s">
        <v>1149</v>
      </c>
      <c r="D515" t="s">
        <v>1389</v>
      </c>
      <c r="E515" t="s">
        <v>1349</v>
      </c>
      <c r="F515" t="s">
        <v>1351</v>
      </c>
      <c r="G515" t="s">
        <v>1370</v>
      </c>
      <c r="H515" s="5">
        <v>3</v>
      </c>
      <c r="I515" s="9">
        <v>2499</v>
      </c>
      <c r="J515" s="9">
        <f t="shared" si="8"/>
        <v>7497</v>
      </c>
      <c r="K515" t="s">
        <v>1376</v>
      </c>
      <c r="L515" t="s">
        <v>1383</v>
      </c>
    </row>
    <row r="516" spans="1:12" x14ac:dyDescent="0.25">
      <c r="A516" s="3">
        <v>45468</v>
      </c>
      <c r="B516" t="s">
        <v>679</v>
      </c>
      <c r="C516" t="s">
        <v>1314</v>
      </c>
      <c r="D516" t="s">
        <v>1344</v>
      </c>
      <c r="E516" t="s">
        <v>1349</v>
      </c>
      <c r="F516" t="s">
        <v>1354</v>
      </c>
      <c r="G516" t="s">
        <v>1363</v>
      </c>
      <c r="H516" s="5">
        <v>45</v>
      </c>
      <c r="I516" s="9">
        <v>1749</v>
      </c>
      <c r="J516" s="9">
        <f t="shared" si="8"/>
        <v>78705</v>
      </c>
      <c r="K516" t="s">
        <v>1379</v>
      </c>
      <c r="L516" t="s">
        <v>1384</v>
      </c>
    </row>
    <row r="517" spans="1:12" x14ac:dyDescent="0.25">
      <c r="A517" s="3">
        <v>45499</v>
      </c>
      <c r="B517" t="s">
        <v>901</v>
      </c>
      <c r="C517" t="s">
        <v>1336</v>
      </c>
      <c r="D517" t="s">
        <v>1344</v>
      </c>
      <c r="E517" t="s">
        <v>1349</v>
      </c>
      <c r="F517" t="s">
        <v>1355</v>
      </c>
      <c r="G517" t="s">
        <v>1372</v>
      </c>
      <c r="H517" s="5">
        <v>49</v>
      </c>
      <c r="I517" s="9">
        <v>1838</v>
      </c>
      <c r="J517" s="9">
        <f t="shared" si="8"/>
        <v>90062</v>
      </c>
      <c r="K517" t="s">
        <v>1379</v>
      </c>
      <c r="L517" t="s">
        <v>1380</v>
      </c>
    </row>
    <row r="518" spans="1:12" x14ac:dyDescent="0.25">
      <c r="A518" s="3">
        <v>45438</v>
      </c>
      <c r="B518" t="s">
        <v>389</v>
      </c>
      <c r="C518" t="s">
        <v>1156</v>
      </c>
      <c r="D518" t="s">
        <v>1389</v>
      </c>
      <c r="E518" t="s">
        <v>1349</v>
      </c>
      <c r="F518" t="s">
        <v>1351</v>
      </c>
      <c r="G518" t="s">
        <v>1357</v>
      </c>
      <c r="H518" s="5">
        <v>17</v>
      </c>
      <c r="I518" s="9">
        <v>1999</v>
      </c>
      <c r="J518" s="9">
        <f t="shared" si="8"/>
        <v>33983</v>
      </c>
      <c r="K518" t="s">
        <v>1376</v>
      </c>
      <c r="L518" t="s">
        <v>1383</v>
      </c>
    </row>
    <row r="519" spans="1:12" x14ac:dyDescent="0.25">
      <c r="A519" s="3">
        <v>45328</v>
      </c>
      <c r="B519" t="s">
        <v>903</v>
      </c>
      <c r="C519" t="s">
        <v>1085</v>
      </c>
      <c r="D519" t="s">
        <v>1344</v>
      </c>
      <c r="E519" t="s">
        <v>1349</v>
      </c>
      <c r="F519" t="s">
        <v>1355</v>
      </c>
      <c r="G519" t="s">
        <v>1360</v>
      </c>
      <c r="H519" s="5">
        <v>39</v>
      </c>
      <c r="I519" s="9">
        <v>3499</v>
      </c>
      <c r="J519" s="9">
        <f t="shared" si="8"/>
        <v>136461</v>
      </c>
      <c r="K519" t="s">
        <v>1379</v>
      </c>
      <c r="L519" t="s">
        <v>1381</v>
      </c>
    </row>
    <row r="520" spans="1:12" x14ac:dyDescent="0.25">
      <c r="A520" s="3">
        <v>45344</v>
      </c>
      <c r="B520" t="s">
        <v>562</v>
      </c>
      <c r="C520" t="s">
        <v>1140</v>
      </c>
      <c r="D520" t="s">
        <v>1389</v>
      </c>
      <c r="E520" t="s">
        <v>1349</v>
      </c>
      <c r="F520" t="s">
        <v>1355</v>
      </c>
      <c r="G520" t="s">
        <v>1372</v>
      </c>
      <c r="H520" s="5">
        <v>39</v>
      </c>
      <c r="I520" s="9">
        <v>1838</v>
      </c>
      <c r="J520" s="9">
        <f t="shared" si="8"/>
        <v>71682</v>
      </c>
      <c r="K520" t="s">
        <v>1379</v>
      </c>
      <c r="L520" t="s">
        <v>1382</v>
      </c>
    </row>
    <row r="521" spans="1:12" x14ac:dyDescent="0.25">
      <c r="A521" s="3">
        <v>45622</v>
      </c>
      <c r="B521" t="s">
        <v>952</v>
      </c>
      <c r="C521" t="s">
        <v>1339</v>
      </c>
      <c r="D521" t="s">
        <v>1345</v>
      </c>
      <c r="E521" t="s">
        <v>1346</v>
      </c>
      <c r="F521" t="s">
        <v>1355</v>
      </c>
      <c r="G521" t="s">
        <v>1360</v>
      </c>
      <c r="H521" s="5">
        <v>46</v>
      </c>
      <c r="I521" s="9">
        <v>1838</v>
      </c>
      <c r="J521" s="9">
        <f t="shared" si="8"/>
        <v>84548</v>
      </c>
      <c r="K521" t="s">
        <v>1377</v>
      </c>
      <c r="L521" t="s">
        <v>1382</v>
      </c>
    </row>
    <row r="522" spans="1:12" x14ac:dyDescent="0.25">
      <c r="A522" s="3">
        <v>45637</v>
      </c>
      <c r="B522" t="s">
        <v>615</v>
      </c>
      <c r="C522" t="s">
        <v>1105</v>
      </c>
      <c r="D522" t="s">
        <v>1345</v>
      </c>
      <c r="E522" t="s">
        <v>1349</v>
      </c>
      <c r="F522" t="s">
        <v>1354</v>
      </c>
      <c r="G522" t="s">
        <v>1363</v>
      </c>
      <c r="H522" s="5">
        <v>8</v>
      </c>
      <c r="I522" s="9">
        <v>2999</v>
      </c>
      <c r="J522" s="9">
        <f t="shared" si="8"/>
        <v>23992</v>
      </c>
      <c r="K522" t="s">
        <v>1376</v>
      </c>
      <c r="L522" t="s">
        <v>1382</v>
      </c>
    </row>
    <row r="523" spans="1:12" x14ac:dyDescent="0.25">
      <c r="A523" s="3">
        <v>45352</v>
      </c>
      <c r="B523" t="s">
        <v>473</v>
      </c>
      <c r="C523" t="s">
        <v>1110</v>
      </c>
      <c r="D523" t="s">
        <v>1389</v>
      </c>
      <c r="E523" t="s">
        <v>1347</v>
      </c>
      <c r="F523" t="s">
        <v>1353</v>
      </c>
      <c r="G523" t="s">
        <v>1369</v>
      </c>
      <c r="H523" s="5">
        <v>18</v>
      </c>
      <c r="I523" s="9">
        <v>999</v>
      </c>
      <c r="J523" s="9">
        <f t="shared" si="8"/>
        <v>17982</v>
      </c>
      <c r="K523" t="s">
        <v>1378</v>
      </c>
      <c r="L523" t="s">
        <v>1384</v>
      </c>
    </row>
    <row r="524" spans="1:12" x14ac:dyDescent="0.25">
      <c r="A524" s="3">
        <v>45524</v>
      </c>
      <c r="B524" t="s">
        <v>534</v>
      </c>
      <c r="C524" t="s">
        <v>1221</v>
      </c>
      <c r="D524" t="s">
        <v>1389</v>
      </c>
      <c r="E524" t="s">
        <v>1347</v>
      </c>
      <c r="F524" t="s">
        <v>1355</v>
      </c>
      <c r="G524" t="s">
        <v>1360</v>
      </c>
      <c r="H524" s="5">
        <v>49</v>
      </c>
      <c r="I524" s="9">
        <v>1999</v>
      </c>
      <c r="J524" s="9">
        <f t="shared" si="8"/>
        <v>97951</v>
      </c>
      <c r="K524" t="s">
        <v>1378</v>
      </c>
      <c r="L524" t="s">
        <v>1382</v>
      </c>
    </row>
    <row r="525" spans="1:12" x14ac:dyDescent="0.25">
      <c r="A525" s="3">
        <v>45357</v>
      </c>
      <c r="B525" t="s">
        <v>271</v>
      </c>
      <c r="C525" t="s">
        <v>1196</v>
      </c>
      <c r="D525" t="s">
        <v>1345</v>
      </c>
      <c r="E525" t="s">
        <v>1347</v>
      </c>
      <c r="F525" t="s">
        <v>1352</v>
      </c>
      <c r="G525" t="s">
        <v>1358</v>
      </c>
      <c r="H525" s="5">
        <v>22</v>
      </c>
      <c r="I525" s="9">
        <v>1499</v>
      </c>
      <c r="J525" s="9">
        <f t="shared" si="8"/>
        <v>32978</v>
      </c>
      <c r="K525" t="s">
        <v>1379</v>
      </c>
      <c r="L525" t="s">
        <v>1382</v>
      </c>
    </row>
    <row r="526" spans="1:12" x14ac:dyDescent="0.25">
      <c r="A526" s="3">
        <v>45445</v>
      </c>
      <c r="B526" t="s">
        <v>376</v>
      </c>
      <c r="C526" t="s">
        <v>1242</v>
      </c>
      <c r="D526" t="s">
        <v>1389</v>
      </c>
      <c r="E526" t="s">
        <v>1350</v>
      </c>
      <c r="F526" t="s">
        <v>1355</v>
      </c>
      <c r="G526" t="s">
        <v>1360</v>
      </c>
      <c r="H526" s="5">
        <v>31</v>
      </c>
      <c r="I526" s="9">
        <v>1499</v>
      </c>
      <c r="J526" s="9">
        <f t="shared" si="8"/>
        <v>46469</v>
      </c>
      <c r="K526" t="s">
        <v>1379</v>
      </c>
      <c r="L526" t="s">
        <v>1380</v>
      </c>
    </row>
    <row r="527" spans="1:12" x14ac:dyDescent="0.25">
      <c r="A527" s="3">
        <v>45506</v>
      </c>
      <c r="B527" t="s">
        <v>322</v>
      </c>
      <c r="C527" t="s">
        <v>1047</v>
      </c>
      <c r="D527" t="s">
        <v>1389</v>
      </c>
      <c r="E527" t="s">
        <v>1349</v>
      </c>
      <c r="F527" t="s">
        <v>1351</v>
      </c>
      <c r="G527" t="s">
        <v>1356</v>
      </c>
      <c r="H527" s="5">
        <v>40</v>
      </c>
      <c r="I527" s="9">
        <v>199</v>
      </c>
      <c r="J527" s="9">
        <f t="shared" si="8"/>
        <v>7960</v>
      </c>
      <c r="K527" t="s">
        <v>1378</v>
      </c>
      <c r="L527" t="s">
        <v>1380</v>
      </c>
    </row>
    <row r="528" spans="1:12" x14ac:dyDescent="0.25">
      <c r="A528" s="3">
        <v>45334</v>
      </c>
      <c r="B528" t="s">
        <v>969</v>
      </c>
      <c r="C528" t="s">
        <v>1035</v>
      </c>
      <c r="D528" t="s">
        <v>1389</v>
      </c>
      <c r="E528" t="s">
        <v>1349</v>
      </c>
      <c r="F528" t="s">
        <v>1352</v>
      </c>
      <c r="G528" t="s">
        <v>1368</v>
      </c>
      <c r="H528" s="5">
        <v>10</v>
      </c>
      <c r="I528" s="9">
        <v>499</v>
      </c>
      <c r="J528" s="9">
        <f t="shared" si="8"/>
        <v>4990</v>
      </c>
      <c r="K528" t="s">
        <v>1377</v>
      </c>
      <c r="L528" t="s">
        <v>1382</v>
      </c>
    </row>
    <row r="529" spans="1:12" x14ac:dyDescent="0.25">
      <c r="A529" s="3">
        <v>45607</v>
      </c>
      <c r="B529" t="s">
        <v>100</v>
      </c>
      <c r="C529" t="s">
        <v>1063</v>
      </c>
      <c r="D529" t="s">
        <v>1344</v>
      </c>
      <c r="E529" t="s">
        <v>1349</v>
      </c>
      <c r="F529" t="s">
        <v>1352</v>
      </c>
      <c r="G529" t="s">
        <v>1368</v>
      </c>
      <c r="H529" s="5">
        <v>1</v>
      </c>
      <c r="I529" s="9">
        <v>2499</v>
      </c>
      <c r="J529" s="9">
        <f t="shared" si="8"/>
        <v>2499</v>
      </c>
      <c r="K529" t="s">
        <v>1379</v>
      </c>
      <c r="L529" t="s">
        <v>1382</v>
      </c>
    </row>
    <row r="530" spans="1:12" x14ac:dyDescent="0.25">
      <c r="A530" s="3">
        <v>45595</v>
      </c>
      <c r="B530" t="s">
        <v>128</v>
      </c>
      <c r="C530" t="s">
        <v>1118</v>
      </c>
      <c r="D530" t="s">
        <v>1344</v>
      </c>
      <c r="E530" t="s">
        <v>1347</v>
      </c>
      <c r="F530" t="s">
        <v>1352</v>
      </c>
      <c r="G530" t="s">
        <v>1375</v>
      </c>
      <c r="H530" s="5">
        <v>11</v>
      </c>
      <c r="I530" s="9">
        <v>499</v>
      </c>
      <c r="J530" s="9">
        <f t="shared" si="8"/>
        <v>5489</v>
      </c>
      <c r="K530" t="s">
        <v>1379</v>
      </c>
      <c r="L530" t="s">
        <v>1382</v>
      </c>
    </row>
    <row r="531" spans="1:12" x14ac:dyDescent="0.25">
      <c r="A531" s="3">
        <v>45327</v>
      </c>
      <c r="B531" t="s">
        <v>311</v>
      </c>
      <c r="C531" t="s">
        <v>1189</v>
      </c>
      <c r="D531" t="s">
        <v>1389</v>
      </c>
      <c r="E531" t="s">
        <v>1349</v>
      </c>
      <c r="F531" t="s">
        <v>1354</v>
      </c>
      <c r="G531" t="s">
        <v>1361</v>
      </c>
      <c r="H531" s="5">
        <v>12</v>
      </c>
      <c r="I531" s="9">
        <v>199</v>
      </c>
      <c r="J531" s="9">
        <f t="shared" si="8"/>
        <v>2388</v>
      </c>
      <c r="K531" t="s">
        <v>1376</v>
      </c>
      <c r="L531" t="s">
        <v>1382</v>
      </c>
    </row>
    <row r="532" spans="1:12" x14ac:dyDescent="0.25">
      <c r="A532" s="3">
        <v>45601</v>
      </c>
      <c r="B532" t="s">
        <v>965</v>
      </c>
      <c r="C532" t="s">
        <v>1242</v>
      </c>
      <c r="D532" t="s">
        <v>1389</v>
      </c>
      <c r="E532" t="s">
        <v>1349</v>
      </c>
      <c r="F532" t="s">
        <v>1354</v>
      </c>
      <c r="G532" t="s">
        <v>1366</v>
      </c>
      <c r="H532" s="5">
        <v>44</v>
      </c>
      <c r="I532" s="9">
        <v>2499</v>
      </c>
      <c r="J532" s="9">
        <f t="shared" si="8"/>
        <v>109956</v>
      </c>
      <c r="K532" t="s">
        <v>1379</v>
      </c>
      <c r="L532" t="s">
        <v>1380</v>
      </c>
    </row>
    <row r="533" spans="1:12" x14ac:dyDescent="0.25">
      <c r="A533" s="3">
        <v>45304</v>
      </c>
      <c r="B533" t="s">
        <v>97</v>
      </c>
      <c r="C533" t="s">
        <v>1097</v>
      </c>
      <c r="D533" t="s">
        <v>1389</v>
      </c>
      <c r="E533" t="s">
        <v>1348</v>
      </c>
      <c r="F533" t="s">
        <v>1353</v>
      </c>
      <c r="G533" t="s">
        <v>1365</v>
      </c>
      <c r="H533" s="5">
        <v>38</v>
      </c>
      <c r="I533" s="9">
        <v>1845</v>
      </c>
      <c r="J533" s="9">
        <f t="shared" si="8"/>
        <v>70110</v>
      </c>
      <c r="K533" t="s">
        <v>1379</v>
      </c>
      <c r="L533" t="s">
        <v>1380</v>
      </c>
    </row>
    <row r="534" spans="1:12" x14ac:dyDescent="0.25">
      <c r="A534" s="3">
        <v>45462</v>
      </c>
      <c r="B534" t="s">
        <v>378</v>
      </c>
      <c r="C534" t="s">
        <v>1243</v>
      </c>
      <c r="D534" t="s">
        <v>1344</v>
      </c>
      <c r="E534" t="s">
        <v>1347</v>
      </c>
      <c r="F534" t="s">
        <v>1352</v>
      </c>
      <c r="G534" t="s">
        <v>1358</v>
      </c>
      <c r="H534" s="5">
        <v>6</v>
      </c>
      <c r="I534" s="9">
        <v>2999</v>
      </c>
      <c r="J534" s="9">
        <f t="shared" si="8"/>
        <v>17994</v>
      </c>
      <c r="K534" t="s">
        <v>1377</v>
      </c>
      <c r="L534" t="s">
        <v>1382</v>
      </c>
    </row>
    <row r="535" spans="1:12" x14ac:dyDescent="0.25">
      <c r="A535" s="3">
        <v>45656</v>
      </c>
      <c r="B535" t="s">
        <v>275</v>
      </c>
      <c r="C535" t="s">
        <v>1198</v>
      </c>
      <c r="D535" t="s">
        <v>1345</v>
      </c>
      <c r="E535" t="s">
        <v>1347</v>
      </c>
      <c r="F535" t="s">
        <v>1352</v>
      </c>
      <c r="G535" t="s">
        <v>1375</v>
      </c>
      <c r="H535" s="5">
        <v>16</v>
      </c>
      <c r="I535" s="9">
        <v>2499</v>
      </c>
      <c r="J535" s="9">
        <f t="shared" si="8"/>
        <v>39984</v>
      </c>
      <c r="K535" t="s">
        <v>1379</v>
      </c>
      <c r="L535" t="s">
        <v>1381</v>
      </c>
    </row>
    <row r="536" spans="1:12" x14ac:dyDescent="0.25">
      <c r="A536" s="3">
        <v>45534</v>
      </c>
      <c r="B536" t="s">
        <v>726</v>
      </c>
      <c r="C536" t="s">
        <v>1320</v>
      </c>
      <c r="D536" t="s">
        <v>1389</v>
      </c>
      <c r="E536" t="s">
        <v>1347</v>
      </c>
      <c r="F536" t="s">
        <v>1352</v>
      </c>
      <c r="G536" t="s">
        <v>1368</v>
      </c>
      <c r="H536" s="5">
        <v>36</v>
      </c>
      <c r="I536" s="9">
        <v>2999</v>
      </c>
      <c r="J536" s="9">
        <f t="shared" si="8"/>
        <v>107964</v>
      </c>
      <c r="K536" t="s">
        <v>1379</v>
      </c>
      <c r="L536" t="s">
        <v>1380</v>
      </c>
    </row>
    <row r="537" spans="1:12" x14ac:dyDescent="0.25">
      <c r="A537" s="3">
        <v>45333</v>
      </c>
      <c r="B537" t="s">
        <v>72</v>
      </c>
      <c r="C537" t="s">
        <v>1077</v>
      </c>
      <c r="D537" t="s">
        <v>1345</v>
      </c>
      <c r="E537" t="s">
        <v>1347</v>
      </c>
      <c r="F537" t="s">
        <v>1355</v>
      </c>
      <c r="G537" t="s">
        <v>1372</v>
      </c>
      <c r="H537" s="5">
        <v>17</v>
      </c>
      <c r="I537" s="9">
        <v>999</v>
      </c>
      <c r="J537" s="9">
        <f t="shared" si="8"/>
        <v>16983</v>
      </c>
      <c r="K537" t="s">
        <v>1377</v>
      </c>
      <c r="L537" t="s">
        <v>1380</v>
      </c>
    </row>
    <row r="538" spans="1:12" x14ac:dyDescent="0.25">
      <c r="A538" s="3">
        <v>45311</v>
      </c>
      <c r="B538" t="s">
        <v>787</v>
      </c>
      <c r="C538" t="s">
        <v>1035</v>
      </c>
      <c r="D538" t="s">
        <v>1389</v>
      </c>
      <c r="E538" t="s">
        <v>1346</v>
      </c>
      <c r="F538" t="s">
        <v>1352</v>
      </c>
      <c r="G538" t="s">
        <v>1375</v>
      </c>
      <c r="H538" s="5">
        <v>41</v>
      </c>
      <c r="I538" s="9">
        <v>499</v>
      </c>
      <c r="J538" s="9">
        <f t="shared" si="8"/>
        <v>20459</v>
      </c>
      <c r="K538" t="s">
        <v>1379</v>
      </c>
      <c r="L538" t="s">
        <v>1384</v>
      </c>
    </row>
    <row r="539" spans="1:12" x14ac:dyDescent="0.25">
      <c r="A539" s="3">
        <v>45455</v>
      </c>
      <c r="B539" t="s">
        <v>823</v>
      </c>
      <c r="C539" t="s">
        <v>1047</v>
      </c>
      <c r="D539" t="s">
        <v>1344</v>
      </c>
      <c r="E539" t="s">
        <v>1347</v>
      </c>
      <c r="F539" t="s">
        <v>1355</v>
      </c>
      <c r="G539" t="s">
        <v>1372</v>
      </c>
      <c r="H539" s="5">
        <v>5</v>
      </c>
      <c r="I539" s="9">
        <v>2499</v>
      </c>
      <c r="J539" s="9">
        <f t="shared" si="8"/>
        <v>12495</v>
      </c>
      <c r="K539" t="s">
        <v>1377</v>
      </c>
      <c r="L539" t="s">
        <v>1380</v>
      </c>
    </row>
    <row r="540" spans="1:12" x14ac:dyDescent="0.25">
      <c r="A540" s="3">
        <v>45319</v>
      </c>
      <c r="B540" t="s">
        <v>88</v>
      </c>
      <c r="C540" t="s">
        <v>1090</v>
      </c>
      <c r="D540" t="s">
        <v>1389</v>
      </c>
      <c r="E540" t="s">
        <v>1350</v>
      </c>
      <c r="F540" t="s">
        <v>1351</v>
      </c>
      <c r="G540" t="s">
        <v>1356</v>
      </c>
      <c r="H540" s="5">
        <v>6</v>
      </c>
      <c r="I540" s="9">
        <v>2999</v>
      </c>
      <c r="J540" s="9">
        <f t="shared" si="8"/>
        <v>17994</v>
      </c>
      <c r="K540" t="s">
        <v>1376</v>
      </c>
      <c r="L540" t="s">
        <v>1380</v>
      </c>
    </row>
    <row r="541" spans="1:12" x14ac:dyDescent="0.25">
      <c r="A541" s="3">
        <v>45384</v>
      </c>
      <c r="B541" t="s">
        <v>599</v>
      </c>
      <c r="C541" t="s">
        <v>1223</v>
      </c>
      <c r="D541" t="s">
        <v>1345</v>
      </c>
      <c r="E541" t="s">
        <v>1347</v>
      </c>
      <c r="F541" t="s">
        <v>1355</v>
      </c>
      <c r="G541" t="s">
        <v>1374</v>
      </c>
      <c r="H541" s="5">
        <v>29</v>
      </c>
      <c r="I541" s="9">
        <v>999</v>
      </c>
      <c r="J541" s="9">
        <f t="shared" si="8"/>
        <v>28971</v>
      </c>
      <c r="K541" t="s">
        <v>1379</v>
      </c>
      <c r="L541" t="s">
        <v>1384</v>
      </c>
    </row>
    <row r="542" spans="1:12" x14ac:dyDescent="0.25">
      <c r="A542" s="3">
        <v>45481</v>
      </c>
      <c r="B542" t="s">
        <v>748</v>
      </c>
      <c r="C542" t="s">
        <v>1314</v>
      </c>
      <c r="D542" t="s">
        <v>1345</v>
      </c>
      <c r="E542" t="s">
        <v>1350</v>
      </c>
      <c r="F542" t="s">
        <v>1352</v>
      </c>
      <c r="G542" t="s">
        <v>1364</v>
      </c>
      <c r="H542" s="5">
        <v>44</v>
      </c>
      <c r="I542" s="9">
        <v>3499</v>
      </c>
      <c r="J542" s="9">
        <f t="shared" si="8"/>
        <v>153956</v>
      </c>
      <c r="K542" t="s">
        <v>1378</v>
      </c>
      <c r="L542" t="s">
        <v>1383</v>
      </c>
    </row>
    <row r="543" spans="1:12" x14ac:dyDescent="0.25">
      <c r="A543" s="3">
        <v>45367</v>
      </c>
      <c r="B543" t="s">
        <v>642</v>
      </c>
      <c r="C543" t="s">
        <v>1059</v>
      </c>
      <c r="D543" t="s">
        <v>1344</v>
      </c>
      <c r="E543" t="s">
        <v>1348</v>
      </c>
      <c r="F543" t="s">
        <v>1352</v>
      </c>
      <c r="G543" t="s">
        <v>1364</v>
      </c>
      <c r="H543" s="5">
        <v>13</v>
      </c>
      <c r="I543" s="9">
        <v>1499</v>
      </c>
      <c r="J543" s="9">
        <f t="shared" si="8"/>
        <v>19487</v>
      </c>
      <c r="K543" t="s">
        <v>1379</v>
      </c>
      <c r="L543" t="s">
        <v>1380</v>
      </c>
    </row>
    <row r="544" spans="1:12" x14ac:dyDescent="0.25">
      <c r="A544" s="3">
        <v>45334</v>
      </c>
      <c r="B544" t="s">
        <v>484</v>
      </c>
      <c r="C544" t="s">
        <v>1281</v>
      </c>
      <c r="D544" t="s">
        <v>1345</v>
      </c>
      <c r="E544" t="s">
        <v>1349</v>
      </c>
      <c r="F544" t="s">
        <v>1354</v>
      </c>
      <c r="G544" t="s">
        <v>1361</v>
      </c>
      <c r="H544" s="5">
        <v>17</v>
      </c>
      <c r="I544" s="9">
        <v>1749</v>
      </c>
      <c r="J544" s="9">
        <f t="shared" si="8"/>
        <v>29733</v>
      </c>
      <c r="K544" t="s">
        <v>1379</v>
      </c>
      <c r="L544" t="s">
        <v>1384</v>
      </c>
    </row>
    <row r="545" spans="1:12" x14ac:dyDescent="0.25">
      <c r="A545" s="3">
        <v>45343</v>
      </c>
      <c r="B545" t="s">
        <v>737</v>
      </c>
      <c r="C545" t="s">
        <v>1107</v>
      </c>
      <c r="D545" t="s">
        <v>1345</v>
      </c>
      <c r="E545" t="s">
        <v>1346</v>
      </c>
      <c r="F545" t="s">
        <v>1352</v>
      </c>
      <c r="G545" t="s">
        <v>1358</v>
      </c>
      <c r="H545" s="5">
        <v>25</v>
      </c>
      <c r="I545" s="9">
        <v>1499</v>
      </c>
      <c r="J545" s="9">
        <f t="shared" si="8"/>
        <v>37475</v>
      </c>
      <c r="K545" t="s">
        <v>1378</v>
      </c>
      <c r="L545" t="s">
        <v>1382</v>
      </c>
    </row>
    <row r="546" spans="1:12" x14ac:dyDescent="0.25">
      <c r="A546" s="3">
        <v>45436</v>
      </c>
      <c r="B546" t="s">
        <v>306</v>
      </c>
      <c r="C546" t="s">
        <v>1059</v>
      </c>
      <c r="D546" t="s">
        <v>1345</v>
      </c>
      <c r="E546" t="s">
        <v>1347</v>
      </c>
      <c r="F546" t="s">
        <v>1352</v>
      </c>
      <c r="G546" t="s">
        <v>1368</v>
      </c>
      <c r="H546" s="5">
        <v>48</v>
      </c>
      <c r="I546" s="9">
        <v>999</v>
      </c>
      <c r="J546" s="9">
        <f t="shared" si="8"/>
        <v>47952</v>
      </c>
      <c r="K546" t="s">
        <v>1379</v>
      </c>
      <c r="L546" t="s">
        <v>1382</v>
      </c>
    </row>
    <row r="547" spans="1:12" x14ac:dyDescent="0.25">
      <c r="A547" s="3">
        <v>45651</v>
      </c>
      <c r="B547" t="s">
        <v>950</v>
      </c>
      <c r="C547" t="s">
        <v>1043</v>
      </c>
      <c r="D547" t="s">
        <v>1389</v>
      </c>
      <c r="E547" t="s">
        <v>1347</v>
      </c>
      <c r="F547" t="s">
        <v>1355</v>
      </c>
      <c r="G547" t="s">
        <v>1374</v>
      </c>
      <c r="H547" s="5">
        <v>3</v>
      </c>
      <c r="I547" s="9">
        <v>2499</v>
      </c>
      <c r="J547" s="9">
        <f t="shared" si="8"/>
        <v>7497</v>
      </c>
      <c r="K547" t="s">
        <v>1376</v>
      </c>
      <c r="L547" t="s">
        <v>1380</v>
      </c>
    </row>
    <row r="548" spans="1:12" x14ac:dyDescent="0.25">
      <c r="A548" s="3">
        <v>45511</v>
      </c>
      <c r="B548" t="s">
        <v>808</v>
      </c>
      <c r="C548" t="s">
        <v>1325</v>
      </c>
      <c r="D548" t="s">
        <v>1389</v>
      </c>
      <c r="E548" t="s">
        <v>1349</v>
      </c>
      <c r="F548" t="s">
        <v>1353</v>
      </c>
      <c r="G548" t="s">
        <v>1367</v>
      </c>
      <c r="H548" s="5">
        <v>22</v>
      </c>
      <c r="I548" s="9">
        <v>999</v>
      </c>
      <c r="J548" s="9">
        <f t="shared" si="8"/>
        <v>21978</v>
      </c>
      <c r="K548" t="s">
        <v>1377</v>
      </c>
      <c r="L548" t="s">
        <v>1383</v>
      </c>
    </row>
    <row r="549" spans="1:12" x14ac:dyDescent="0.25">
      <c r="A549" s="3">
        <v>45404</v>
      </c>
      <c r="B549" t="s">
        <v>665</v>
      </c>
      <c r="C549" t="s">
        <v>1107</v>
      </c>
      <c r="D549" t="s">
        <v>1344</v>
      </c>
      <c r="E549" t="s">
        <v>1346</v>
      </c>
      <c r="F549" t="s">
        <v>1354</v>
      </c>
      <c r="G549" t="s">
        <v>1361</v>
      </c>
      <c r="H549" s="5">
        <v>20</v>
      </c>
      <c r="I549" s="9">
        <v>3499</v>
      </c>
      <c r="J549" s="9">
        <f t="shared" si="8"/>
        <v>69980</v>
      </c>
      <c r="K549" t="s">
        <v>1379</v>
      </c>
      <c r="L549" t="s">
        <v>1384</v>
      </c>
    </row>
    <row r="550" spans="1:12" x14ac:dyDescent="0.25">
      <c r="A550" s="3">
        <v>45333</v>
      </c>
      <c r="B550" t="s">
        <v>925</v>
      </c>
      <c r="C550" t="s">
        <v>1034</v>
      </c>
      <c r="D550" t="s">
        <v>1344</v>
      </c>
      <c r="E550" t="s">
        <v>1349</v>
      </c>
      <c r="F550" t="s">
        <v>1353</v>
      </c>
      <c r="G550" t="s">
        <v>1359</v>
      </c>
      <c r="H550" s="5">
        <v>20</v>
      </c>
      <c r="I550" s="9">
        <v>3499</v>
      </c>
      <c r="J550" s="9">
        <f t="shared" si="8"/>
        <v>69980</v>
      </c>
      <c r="K550" t="s">
        <v>1379</v>
      </c>
      <c r="L550" t="s">
        <v>1380</v>
      </c>
    </row>
    <row r="551" spans="1:12" x14ac:dyDescent="0.25">
      <c r="A551" s="3">
        <v>45580</v>
      </c>
      <c r="B551" t="s">
        <v>479</v>
      </c>
      <c r="C551" t="s">
        <v>1229</v>
      </c>
      <c r="D551" t="s">
        <v>1345</v>
      </c>
      <c r="E551" t="s">
        <v>1347</v>
      </c>
      <c r="F551" t="s">
        <v>1352</v>
      </c>
      <c r="G551" t="s">
        <v>1368</v>
      </c>
      <c r="H551" s="5">
        <v>28</v>
      </c>
      <c r="I551" s="9">
        <v>1999</v>
      </c>
      <c r="J551" s="9">
        <f t="shared" si="8"/>
        <v>55972</v>
      </c>
      <c r="K551" t="s">
        <v>1377</v>
      </c>
      <c r="L551" t="s">
        <v>1380</v>
      </c>
    </row>
    <row r="552" spans="1:12" x14ac:dyDescent="0.25">
      <c r="A552" s="3">
        <v>45437</v>
      </c>
      <c r="B552" t="s">
        <v>14</v>
      </c>
      <c r="C552" t="s">
        <v>1026</v>
      </c>
      <c r="D552" t="s">
        <v>1344</v>
      </c>
      <c r="E552" t="s">
        <v>1347</v>
      </c>
      <c r="F552" t="s">
        <v>1352</v>
      </c>
      <c r="G552" t="s">
        <v>1358</v>
      </c>
      <c r="H552" s="5">
        <v>28</v>
      </c>
      <c r="I552" s="9">
        <v>999</v>
      </c>
      <c r="J552" s="9">
        <f t="shared" si="8"/>
        <v>27972</v>
      </c>
      <c r="K552" t="s">
        <v>1377</v>
      </c>
      <c r="L552" t="s">
        <v>1380</v>
      </c>
    </row>
    <row r="553" spans="1:12" x14ac:dyDescent="0.25">
      <c r="A553" s="3">
        <v>45607</v>
      </c>
      <c r="B553" t="s">
        <v>1013</v>
      </c>
      <c r="C553" t="s">
        <v>1201</v>
      </c>
      <c r="D553" t="s">
        <v>1344</v>
      </c>
      <c r="E553" t="s">
        <v>1346</v>
      </c>
      <c r="F553" t="s">
        <v>1352</v>
      </c>
      <c r="G553" t="s">
        <v>1358</v>
      </c>
      <c r="H553" s="5">
        <v>46</v>
      </c>
      <c r="I553" s="9">
        <v>1624</v>
      </c>
      <c r="J553" s="9">
        <f t="shared" si="8"/>
        <v>74704</v>
      </c>
      <c r="K553" t="s">
        <v>1377</v>
      </c>
      <c r="L553" t="s">
        <v>1382</v>
      </c>
    </row>
    <row r="554" spans="1:12" x14ac:dyDescent="0.25">
      <c r="A554" s="3">
        <v>45310</v>
      </c>
      <c r="B554" t="s">
        <v>653</v>
      </c>
      <c r="C554" t="s">
        <v>1180</v>
      </c>
      <c r="D554" t="s">
        <v>1345</v>
      </c>
      <c r="E554" t="s">
        <v>1347</v>
      </c>
      <c r="F554" t="s">
        <v>1355</v>
      </c>
      <c r="G554" t="s">
        <v>1372</v>
      </c>
      <c r="H554" s="5">
        <v>38</v>
      </c>
      <c r="I554" s="9">
        <v>1499</v>
      </c>
      <c r="J554" s="9">
        <f t="shared" si="8"/>
        <v>56962</v>
      </c>
      <c r="K554" t="s">
        <v>1379</v>
      </c>
      <c r="L554" t="s">
        <v>1382</v>
      </c>
    </row>
    <row r="555" spans="1:12" x14ac:dyDescent="0.25">
      <c r="A555" s="3">
        <v>45477</v>
      </c>
      <c r="B555" t="s">
        <v>317</v>
      </c>
      <c r="C555" t="s">
        <v>1174</v>
      </c>
      <c r="D555" t="s">
        <v>1345</v>
      </c>
      <c r="E555" t="s">
        <v>1349</v>
      </c>
      <c r="F555" t="s">
        <v>1353</v>
      </c>
      <c r="G555" t="s">
        <v>1367</v>
      </c>
      <c r="H555" s="5">
        <v>9</v>
      </c>
      <c r="I555" s="9">
        <v>1499</v>
      </c>
      <c r="J555" s="9">
        <f t="shared" si="8"/>
        <v>13491</v>
      </c>
      <c r="K555" t="s">
        <v>1379</v>
      </c>
      <c r="L555" t="s">
        <v>1382</v>
      </c>
    </row>
    <row r="556" spans="1:12" x14ac:dyDescent="0.25">
      <c r="A556" s="3">
        <v>45392</v>
      </c>
      <c r="B556" t="s">
        <v>475</v>
      </c>
      <c r="C556" t="s">
        <v>1279</v>
      </c>
      <c r="D556" t="s">
        <v>1345</v>
      </c>
      <c r="E556" t="s">
        <v>1349</v>
      </c>
      <c r="F556" t="s">
        <v>1354</v>
      </c>
      <c r="G556" t="s">
        <v>1361</v>
      </c>
      <c r="H556" s="5">
        <v>49</v>
      </c>
      <c r="I556" s="9">
        <v>1749</v>
      </c>
      <c r="J556" s="9">
        <f t="shared" si="8"/>
        <v>85701</v>
      </c>
      <c r="K556" t="s">
        <v>1379</v>
      </c>
      <c r="L556" t="s">
        <v>1384</v>
      </c>
    </row>
    <row r="557" spans="1:12" x14ac:dyDescent="0.25">
      <c r="A557" s="3">
        <v>45379</v>
      </c>
      <c r="B557" t="s">
        <v>39</v>
      </c>
      <c r="C557" t="s">
        <v>1049</v>
      </c>
      <c r="D557" t="s">
        <v>1389</v>
      </c>
      <c r="E557" t="s">
        <v>1346</v>
      </c>
      <c r="F557" t="s">
        <v>1355</v>
      </c>
      <c r="G557" t="s">
        <v>1372</v>
      </c>
      <c r="H557" s="5">
        <v>7</v>
      </c>
      <c r="I557" s="9">
        <v>1499</v>
      </c>
      <c r="J557" s="9">
        <f t="shared" si="8"/>
        <v>10493</v>
      </c>
      <c r="K557" t="s">
        <v>1379</v>
      </c>
      <c r="L557" t="s">
        <v>1382</v>
      </c>
    </row>
    <row r="558" spans="1:12" x14ac:dyDescent="0.25">
      <c r="A558" s="3">
        <v>45330</v>
      </c>
      <c r="B558" t="s">
        <v>66</v>
      </c>
      <c r="C558" t="s">
        <v>1072</v>
      </c>
      <c r="D558" t="s">
        <v>1344</v>
      </c>
      <c r="E558" t="s">
        <v>1350</v>
      </c>
      <c r="F558" t="s">
        <v>1353</v>
      </c>
      <c r="G558" t="s">
        <v>1365</v>
      </c>
      <c r="H558" s="5">
        <v>2</v>
      </c>
      <c r="I558" s="9">
        <v>2499</v>
      </c>
      <c r="J558" s="9">
        <f t="shared" si="8"/>
        <v>4998</v>
      </c>
      <c r="K558" t="s">
        <v>1379</v>
      </c>
      <c r="L558" t="s">
        <v>1384</v>
      </c>
    </row>
    <row r="559" spans="1:12" x14ac:dyDescent="0.25">
      <c r="A559" s="3">
        <v>45330</v>
      </c>
      <c r="B559" t="s">
        <v>540</v>
      </c>
      <c r="C559" t="s">
        <v>1156</v>
      </c>
      <c r="D559" t="s">
        <v>1389</v>
      </c>
      <c r="E559" t="s">
        <v>1347</v>
      </c>
      <c r="F559" t="s">
        <v>1353</v>
      </c>
      <c r="G559" t="s">
        <v>1367</v>
      </c>
      <c r="H559" s="5">
        <v>4</v>
      </c>
      <c r="I559" s="9">
        <v>1845</v>
      </c>
      <c r="J559" s="9">
        <f t="shared" si="8"/>
        <v>7380</v>
      </c>
      <c r="K559" t="s">
        <v>1378</v>
      </c>
      <c r="L559" t="s">
        <v>1382</v>
      </c>
    </row>
    <row r="560" spans="1:12" x14ac:dyDescent="0.25">
      <c r="A560" s="3">
        <v>45569</v>
      </c>
      <c r="B560" t="s">
        <v>187</v>
      </c>
      <c r="C560" t="s">
        <v>1151</v>
      </c>
      <c r="D560" t="s">
        <v>1345</v>
      </c>
      <c r="E560" t="s">
        <v>1350</v>
      </c>
      <c r="F560" t="s">
        <v>1351</v>
      </c>
      <c r="G560" t="s">
        <v>1357</v>
      </c>
      <c r="H560" s="5">
        <v>6</v>
      </c>
      <c r="I560" s="9">
        <v>999</v>
      </c>
      <c r="J560" s="9">
        <f t="shared" si="8"/>
        <v>5994</v>
      </c>
      <c r="K560" t="s">
        <v>1379</v>
      </c>
      <c r="L560" t="s">
        <v>1382</v>
      </c>
    </row>
    <row r="561" spans="1:12" x14ac:dyDescent="0.25">
      <c r="A561" s="3">
        <v>45435</v>
      </c>
      <c r="B561" t="s">
        <v>217</v>
      </c>
      <c r="C561" t="s">
        <v>1101</v>
      </c>
      <c r="D561" t="s">
        <v>1389</v>
      </c>
      <c r="E561" t="s">
        <v>1346</v>
      </c>
      <c r="F561" t="s">
        <v>1354</v>
      </c>
      <c r="G561" t="s">
        <v>1366</v>
      </c>
      <c r="H561" s="5">
        <v>16</v>
      </c>
      <c r="I561" s="9">
        <v>2499</v>
      </c>
      <c r="J561" s="9">
        <f t="shared" si="8"/>
        <v>39984</v>
      </c>
      <c r="K561" t="s">
        <v>1379</v>
      </c>
      <c r="L561" t="s">
        <v>1384</v>
      </c>
    </row>
    <row r="562" spans="1:12" x14ac:dyDescent="0.25">
      <c r="A562" s="3">
        <v>45520</v>
      </c>
      <c r="B562" t="s">
        <v>368</v>
      </c>
      <c r="C562" t="s">
        <v>1216</v>
      </c>
      <c r="D562" t="s">
        <v>1389</v>
      </c>
      <c r="E562" t="s">
        <v>1348</v>
      </c>
      <c r="F562" t="s">
        <v>1352</v>
      </c>
      <c r="G562" t="s">
        <v>1375</v>
      </c>
      <c r="H562" s="5">
        <v>21</v>
      </c>
      <c r="I562" s="9">
        <v>499</v>
      </c>
      <c r="J562" s="9">
        <f t="shared" si="8"/>
        <v>10479</v>
      </c>
      <c r="K562" t="s">
        <v>1377</v>
      </c>
      <c r="L562" t="s">
        <v>1382</v>
      </c>
    </row>
    <row r="563" spans="1:12" x14ac:dyDescent="0.25">
      <c r="A563" s="3">
        <v>45568</v>
      </c>
      <c r="B563" t="s">
        <v>603</v>
      </c>
      <c r="C563" t="s">
        <v>1079</v>
      </c>
      <c r="D563" t="s">
        <v>1345</v>
      </c>
      <c r="E563" t="s">
        <v>1347</v>
      </c>
      <c r="F563" t="s">
        <v>1355</v>
      </c>
      <c r="G563" t="s">
        <v>1360</v>
      </c>
      <c r="H563" s="5">
        <v>39</v>
      </c>
      <c r="I563" s="9">
        <v>999</v>
      </c>
      <c r="J563" s="9">
        <f t="shared" si="8"/>
        <v>38961</v>
      </c>
      <c r="K563" t="s">
        <v>1379</v>
      </c>
      <c r="L563" t="s">
        <v>1382</v>
      </c>
    </row>
    <row r="564" spans="1:12" x14ac:dyDescent="0.25">
      <c r="A564" s="3">
        <v>45489</v>
      </c>
      <c r="B564" t="s">
        <v>370</v>
      </c>
      <c r="C564" t="s">
        <v>1238</v>
      </c>
      <c r="D564" t="s">
        <v>1389</v>
      </c>
      <c r="E564" t="s">
        <v>1350</v>
      </c>
      <c r="F564" t="s">
        <v>1352</v>
      </c>
      <c r="G564" t="s">
        <v>1364</v>
      </c>
      <c r="H564" s="5">
        <v>43</v>
      </c>
      <c r="I564" s="9">
        <v>499</v>
      </c>
      <c r="J564" s="9">
        <f t="shared" si="8"/>
        <v>21457</v>
      </c>
      <c r="K564" t="s">
        <v>1379</v>
      </c>
      <c r="L564" t="s">
        <v>1383</v>
      </c>
    </row>
    <row r="565" spans="1:12" x14ac:dyDescent="0.25">
      <c r="A565" s="3">
        <v>45322</v>
      </c>
      <c r="B565" t="s">
        <v>617</v>
      </c>
      <c r="C565" t="s">
        <v>1306</v>
      </c>
      <c r="D565" t="s">
        <v>1344</v>
      </c>
      <c r="E565" t="s">
        <v>1350</v>
      </c>
      <c r="F565" t="s">
        <v>1352</v>
      </c>
      <c r="G565" t="s">
        <v>1375</v>
      </c>
      <c r="H565" s="5">
        <v>37</v>
      </c>
      <c r="I565" s="9">
        <v>3499</v>
      </c>
      <c r="J565" s="9">
        <f t="shared" si="8"/>
        <v>129463</v>
      </c>
      <c r="K565" t="s">
        <v>1379</v>
      </c>
      <c r="L565" t="s">
        <v>1380</v>
      </c>
    </row>
    <row r="566" spans="1:12" x14ac:dyDescent="0.25">
      <c r="A566" s="3">
        <v>45313</v>
      </c>
      <c r="B566" t="s">
        <v>307</v>
      </c>
      <c r="C566" t="s">
        <v>1082</v>
      </c>
      <c r="D566" t="s">
        <v>1345</v>
      </c>
      <c r="E566" t="s">
        <v>1350</v>
      </c>
      <c r="F566" t="s">
        <v>1354</v>
      </c>
      <c r="G566" t="s">
        <v>1363</v>
      </c>
      <c r="H566" s="5">
        <v>27</v>
      </c>
      <c r="I566" s="9">
        <v>1749</v>
      </c>
      <c r="J566" s="9">
        <f t="shared" si="8"/>
        <v>47223</v>
      </c>
      <c r="K566" t="s">
        <v>1376</v>
      </c>
      <c r="L566" t="s">
        <v>1384</v>
      </c>
    </row>
    <row r="567" spans="1:12" x14ac:dyDescent="0.25">
      <c r="A567" s="3">
        <v>45612</v>
      </c>
      <c r="B567" t="s">
        <v>716</v>
      </c>
      <c r="C567" t="s">
        <v>1053</v>
      </c>
      <c r="D567" t="s">
        <v>1345</v>
      </c>
      <c r="E567" t="s">
        <v>1347</v>
      </c>
      <c r="F567" t="s">
        <v>1352</v>
      </c>
      <c r="G567" t="s">
        <v>1364</v>
      </c>
      <c r="H567" s="5">
        <v>9</v>
      </c>
      <c r="I567" s="9">
        <v>1499</v>
      </c>
      <c r="J567" s="9">
        <f t="shared" si="8"/>
        <v>13491</v>
      </c>
      <c r="K567" t="s">
        <v>1378</v>
      </c>
      <c r="L567" t="s">
        <v>1382</v>
      </c>
    </row>
    <row r="568" spans="1:12" x14ac:dyDescent="0.25">
      <c r="A568" s="3">
        <v>45595</v>
      </c>
      <c r="B568" t="s">
        <v>825</v>
      </c>
      <c r="C568" t="s">
        <v>1159</v>
      </c>
      <c r="D568" t="s">
        <v>1345</v>
      </c>
      <c r="E568" t="s">
        <v>1349</v>
      </c>
      <c r="F568" t="s">
        <v>1352</v>
      </c>
      <c r="G568" t="s">
        <v>1358</v>
      </c>
      <c r="H568" s="5">
        <v>5</v>
      </c>
      <c r="I568" s="9">
        <v>199</v>
      </c>
      <c r="J568" s="9">
        <f t="shared" si="8"/>
        <v>995</v>
      </c>
      <c r="K568" t="s">
        <v>1379</v>
      </c>
      <c r="L568" t="s">
        <v>1382</v>
      </c>
    </row>
    <row r="569" spans="1:12" x14ac:dyDescent="0.25">
      <c r="A569" s="3">
        <v>45652</v>
      </c>
      <c r="B569" t="s">
        <v>655</v>
      </c>
      <c r="C569" t="s">
        <v>1212</v>
      </c>
      <c r="D569" t="s">
        <v>1389</v>
      </c>
      <c r="E569" t="s">
        <v>1346</v>
      </c>
      <c r="F569" t="s">
        <v>1354</v>
      </c>
      <c r="G569" t="s">
        <v>1361</v>
      </c>
      <c r="H569" s="5">
        <v>23</v>
      </c>
      <c r="I569" s="9">
        <v>1499</v>
      </c>
      <c r="J569" s="9">
        <f t="shared" si="8"/>
        <v>34477</v>
      </c>
      <c r="K569" t="s">
        <v>1379</v>
      </c>
      <c r="L569" t="s">
        <v>1382</v>
      </c>
    </row>
    <row r="570" spans="1:12" x14ac:dyDescent="0.25">
      <c r="A570" s="3">
        <v>45641</v>
      </c>
      <c r="B570" t="s">
        <v>429</v>
      </c>
      <c r="C570" t="s">
        <v>1062</v>
      </c>
      <c r="D570" t="s">
        <v>1344</v>
      </c>
      <c r="E570" t="s">
        <v>1349</v>
      </c>
      <c r="F570" t="s">
        <v>1353</v>
      </c>
      <c r="G570" t="s">
        <v>1369</v>
      </c>
      <c r="H570" s="5">
        <v>31</v>
      </c>
      <c r="I570" s="9">
        <v>199</v>
      </c>
      <c r="J570" s="9">
        <f t="shared" si="8"/>
        <v>6169</v>
      </c>
      <c r="K570" t="s">
        <v>1379</v>
      </c>
      <c r="L570" t="s">
        <v>1382</v>
      </c>
    </row>
    <row r="571" spans="1:12" x14ac:dyDescent="0.25">
      <c r="A571" s="3">
        <v>45325</v>
      </c>
      <c r="B571" t="s">
        <v>672</v>
      </c>
      <c r="C571" t="s">
        <v>1042</v>
      </c>
      <c r="D571" t="s">
        <v>1345</v>
      </c>
      <c r="E571" t="s">
        <v>1349</v>
      </c>
      <c r="F571" t="s">
        <v>1354</v>
      </c>
      <c r="G571" t="s">
        <v>1362</v>
      </c>
      <c r="H571" s="5">
        <v>42</v>
      </c>
      <c r="I571" s="9">
        <v>199</v>
      </c>
      <c r="J571" s="9">
        <f t="shared" si="8"/>
        <v>8358</v>
      </c>
      <c r="K571" t="s">
        <v>1379</v>
      </c>
      <c r="L571" t="s">
        <v>1382</v>
      </c>
    </row>
    <row r="572" spans="1:12" x14ac:dyDescent="0.25">
      <c r="A572" s="3">
        <v>45345</v>
      </c>
      <c r="B572" t="s">
        <v>294</v>
      </c>
      <c r="C572" t="s">
        <v>1207</v>
      </c>
      <c r="D572" t="s">
        <v>1345</v>
      </c>
      <c r="E572" t="s">
        <v>1349</v>
      </c>
      <c r="F572" t="s">
        <v>1355</v>
      </c>
      <c r="G572" t="s">
        <v>1374</v>
      </c>
      <c r="H572" s="5">
        <v>37</v>
      </c>
      <c r="I572" s="9">
        <v>2499</v>
      </c>
      <c r="J572" s="9">
        <f t="shared" si="8"/>
        <v>92463</v>
      </c>
      <c r="K572" t="s">
        <v>1378</v>
      </c>
      <c r="L572" t="s">
        <v>1381</v>
      </c>
    </row>
    <row r="573" spans="1:12" x14ac:dyDescent="0.25">
      <c r="A573" s="3">
        <v>45558</v>
      </c>
      <c r="B573" t="s">
        <v>241</v>
      </c>
      <c r="C573" t="s">
        <v>1180</v>
      </c>
      <c r="D573" t="s">
        <v>1345</v>
      </c>
      <c r="E573" t="s">
        <v>1347</v>
      </c>
      <c r="F573" t="s">
        <v>1355</v>
      </c>
      <c r="G573" t="s">
        <v>1373</v>
      </c>
      <c r="H573" s="5">
        <v>34</v>
      </c>
      <c r="I573" s="9">
        <v>2999</v>
      </c>
      <c r="J573" s="9">
        <f t="shared" si="8"/>
        <v>101966</v>
      </c>
      <c r="K573" t="s">
        <v>1379</v>
      </c>
      <c r="L573" t="s">
        <v>1382</v>
      </c>
    </row>
    <row r="574" spans="1:12" x14ac:dyDescent="0.25">
      <c r="A574" s="3">
        <v>45438</v>
      </c>
      <c r="B574" t="s">
        <v>482</v>
      </c>
      <c r="C574" t="s">
        <v>1245</v>
      </c>
      <c r="D574" t="s">
        <v>1389</v>
      </c>
      <c r="E574" t="s">
        <v>1347</v>
      </c>
      <c r="F574" t="s">
        <v>1355</v>
      </c>
      <c r="G574" t="s">
        <v>1374</v>
      </c>
      <c r="H574" s="5">
        <v>4</v>
      </c>
      <c r="I574" s="9">
        <v>3499</v>
      </c>
      <c r="J574" s="9">
        <f t="shared" si="8"/>
        <v>13996</v>
      </c>
      <c r="K574" t="s">
        <v>1379</v>
      </c>
      <c r="L574" t="s">
        <v>1384</v>
      </c>
    </row>
    <row r="575" spans="1:12" x14ac:dyDescent="0.25">
      <c r="A575" s="3">
        <v>45652</v>
      </c>
      <c r="B575" t="s">
        <v>929</v>
      </c>
      <c r="C575" t="s">
        <v>1227</v>
      </c>
      <c r="D575" t="s">
        <v>1344</v>
      </c>
      <c r="E575" t="s">
        <v>1350</v>
      </c>
      <c r="F575" t="s">
        <v>1352</v>
      </c>
      <c r="G575" t="s">
        <v>1364</v>
      </c>
      <c r="H575" s="5">
        <v>5</v>
      </c>
      <c r="I575" s="9">
        <v>2999</v>
      </c>
      <c r="J575" s="9">
        <f t="shared" si="8"/>
        <v>14995</v>
      </c>
      <c r="K575" t="s">
        <v>1376</v>
      </c>
      <c r="L575" t="s">
        <v>1382</v>
      </c>
    </row>
    <row r="576" spans="1:12" x14ac:dyDescent="0.25">
      <c r="A576" s="3">
        <v>45605</v>
      </c>
      <c r="B576" t="s">
        <v>418</v>
      </c>
      <c r="C576" t="s">
        <v>1257</v>
      </c>
      <c r="D576" t="s">
        <v>1344</v>
      </c>
      <c r="E576" t="s">
        <v>1349</v>
      </c>
      <c r="F576" t="s">
        <v>1355</v>
      </c>
      <c r="G576" t="s">
        <v>1360</v>
      </c>
      <c r="H576" s="5">
        <v>4</v>
      </c>
      <c r="I576" s="9">
        <v>999</v>
      </c>
      <c r="J576" s="9">
        <f t="shared" si="8"/>
        <v>3996</v>
      </c>
      <c r="K576" t="s">
        <v>1376</v>
      </c>
      <c r="L576" t="s">
        <v>1384</v>
      </c>
    </row>
    <row r="577" spans="1:12" x14ac:dyDescent="0.25">
      <c r="A577" s="3">
        <v>45311</v>
      </c>
      <c r="B577" t="s">
        <v>875</v>
      </c>
      <c r="C577" t="s">
        <v>1229</v>
      </c>
      <c r="D577" t="s">
        <v>1345</v>
      </c>
      <c r="E577" t="s">
        <v>1349</v>
      </c>
      <c r="F577" t="s">
        <v>1354</v>
      </c>
      <c r="G577" t="s">
        <v>1363</v>
      </c>
      <c r="H577" s="5">
        <v>21</v>
      </c>
      <c r="I577" s="9">
        <v>2499</v>
      </c>
      <c r="J577" s="9">
        <f t="shared" si="8"/>
        <v>52479</v>
      </c>
      <c r="K577" t="s">
        <v>1379</v>
      </c>
      <c r="L577" t="s">
        <v>1384</v>
      </c>
    </row>
    <row r="578" spans="1:12" x14ac:dyDescent="0.25">
      <c r="A578" s="3">
        <v>45503</v>
      </c>
      <c r="B578" t="s">
        <v>905</v>
      </c>
      <c r="C578" t="s">
        <v>1100</v>
      </c>
      <c r="D578" t="s">
        <v>1344</v>
      </c>
      <c r="E578" t="s">
        <v>1349</v>
      </c>
      <c r="F578" t="s">
        <v>1351</v>
      </c>
      <c r="G578" t="s">
        <v>1371</v>
      </c>
      <c r="H578" s="5">
        <v>29</v>
      </c>
      <c r="I578" s="9">
        <v>1878</v>
      </c>
      <c r="J578" s="9">
        <f t="shared" ref="J578:J641" si="9">H578*I578</f>
        <v>54462</v>
      </c>
      <c r="K578" t="s">
        <v>1379</v>
      </c>
      <c r="L578" t="s">
        <v>1384</v>
      </c>
    </row>
    <row r="579" spans="1:12" x14ac:dyDescent="0.25">
      <c r="A579" s="3">
        <v>45607</v>
      </c>
      <c r="B579" t="s">
        <v>790</v>
      </c>
      <c r="C579" t="s">
        <v>1248</v>
      </c>
      <c r="D579" t="s">
        <v>1389</v>
      </c>
      <c r="E579" t="s">
        <v>1347</v>
      </c>
      <c r="F579" t="s">
        <v>1351</v>
      </c>
      <c r="G579" t="s">
        <v>1371</v>
      </c>
      <c r="H579" s="5">
        <v>26</v>
      </c>
      <c r="I579" s="9">
        <v>3499</v>
      </c>
      <c r="J579" s="9">
        <f t="shared" si="9"/>
        <v>90974</v>
      </c>
      <c r="K579" t="s">
        <v>1379</v>
      </c>
      <c r="L579" t="s">
        <v>1384</v>
      </c>
    </row>
    <row r="580" spans="1:12" x14ac:dyDescent="0.25">
      <c r="A580" s="3">
        <v>45384</v>
      </c>
      <c r="B580" t="s">
        <v>715</v>
      </c>
      <c r="C580" t="s">
        <v>1182</v>
      </c>
      <c r="D580" t="s">
        <v>1344</v>
      </c>
      <c r="E580" t="s">
        <v>1349</v>
      </c>
      <c r="F580" t="s">
        <v>1351</v>
      </c>
      <c r="G580" t="s">
        <v>1356</v>
      </c>
      <c r="H580" s="5">
        <v>41</v>
      </c>
      <c r="I580" s="9">
        <v>499</v>
      </c>
      <c r="J580" s="9">
        <f t="shared" si="9"/>
        <v>20459</v>
      </c>
      <c r="K580" t="s">
        <v>1379</v>
      </c>
      <c r="L580" t="s">
        <v>1380</v>
      </c>
    </row>
    <row r="581" spans="1:12" x14ac:dyDescent="0.25">
      <c r="A581" s="3">
        <v>45366</v>
      </c>
      <c r="B581" t="s">
        <v>731</v>
      </c>
      <c r="C581" t="s">
        <v>1163</v>
      </c>
      <c r="D581" t="s">
        <v>1345</v>
      </c>
      <c r="E581" t="s">
        <v>1349</v>
      </c>
      <c r="F581" t="s">
        <v>1352</v>
      </c>
      <c r="G581" t="s">
        <v>1375</v>
      </c>
      <c r="H581" s="5">
        <v>10</v>
      </c>
      <c r="I581" s="9">
        <v>3499</v>
      </c>
      <c r="J581" s="9">
        <f t="shared" si="9"/>
        <v>34990</v>
      </c>
      <c r="K581" t="s">
        <v>1379</v>
      </c>
      <c r="L581" t="s">
        <v>1382</v>
      </c>
    </row>
    <row r="582" spans="1:12" x14ac:dyDescent="0.25">
      <c r="A582" s="3">
        <v>45522</v>
      </c>
      <c r="B582" t="s">
        <v>61</v>
      </c>
      <c r="C582" t="s">
        <v>1067</v>
      </c>
      <c r="D582" t="s">
        <v>1389</v>
      </c>
      <c r="E582" t="s">
        <v>1349</v>
      </c>
      <c r="F582" t="s">
        <v>1355</v>
      </c>
      <c r="G582" t="s">
        <v>1373</v>
      </c>
      <c r="H582" s="5">
        <v>42</v>
      </c>
      <c r="I582" s="9">
        <v>999</v>
      </c>
      <c r="J582" s="9">
        <f t="shared" si="9"/>
        <v>41958</v>
      </c>
      <c r="K582" t="s">
        <v>1379</v>
      </c>
      <c r="L582" t="s">
        <v>1384</v>
      </c>
    </row>
    <row r="583" spans="1:12" x14ac:dyDescent="0.25">
      <c r="A583" s="3">
        <v>45411</v>
      </c>
      <c r="B583" t="s">
        <v>712</v>
      </c>
      <c r="C583" t="s">
        <v>1308</v>
      </c>
      <c r="D583" t="s">
        <v>1345</v>
      </c>
      <c r="E583" t="s">
        <v>1349</v>
      </c>
      <c r="F583" t="s">
        <v>1352</v>
      </c>
      <c r="G583" t="s">
        <v>1364</v>
      </c>
      <c r="H583" s="5">
        <v>46</v>
      </c>
      <c r="I583" s="9">
        <v>1999</v>
      </c>
      <c r="J583" s="9">
        <f t="shared" si="9"/>
        <v>91954</v>
      </c>
      <c r="K583" t="s">
        <v>1377</v>
      </c>
      <c r="L583" t="s">
        <v>1381</v>
      </c>
    </row>
    <row r="584" spans="1:12" x14ac:dyDescent="0.25">
      <c r="A584" s="3">
        <v>45351</v>
      </c>
      <c r="B584" t="s">
        <v>806</v>
      </c>
      <c r="C584" t="s">
        <v>1262</v>
      </c>
      <c r="D584" t="s">
        <v>1345</v>
      </c>
      <c r="E584" t="s">
        <v>1349</v>
      </c>
      <c r="F584" t="s">
        <v>1355</v>
      </c>
      <c r="G584" t="s">
        <v>1360</v>
      </c>
      <c r="H584" s="5">
        <v>20</v>
      </c>
      <c r="I584" s="9">
        <v>1838</v>
      </c>
      <c r="J584" s="9">
        <f t="shared" si="9"/>
        <v>36760</v>
      </c>
      <c r="K584" t="s">
        <v>1377</v>
      </c>
      <c r="L584" t="s">
        <v>1380</v>
      </c>
    </row>
    <row r="585" spans="1:12" x14ac:dyDescent="0.25">
      <c r="A585" s="3">
        <v>45402</v>
      </c>
      <c r="B585" t="s">
        <v>668</v>
      </c>
      <c r="C585" t="s">
        <v>1312</v>
      </c>
      <c r="D585" t="s">
        <v>1389</v>
      </c>
      <c r="E585" t="s">
        <v>1347</v>
      </c>
      <c r="F585" t="s">
        <v>1353</v>
      </c>
      <c r="G585" t="s">
        <v>1367</v>
      </c>
      <c r="H585" s="5">
        <v>21</v>
      </c>
      <c r="I585" s="9">
        <v>499</v>
      </c>
      <c r="J585" s="9">
        <f t="shared" si="9"/>
        <v>10479</v>
      </c>
      <c r="K585" t="s">
        <v>1379</v>
      </c>
      <c r="L585" t="s">
        <v>1380</v>
      </c>
    </row>
    <row r="586" spans="1:12" x14ac:dyDescent="0.25">
      <c r="A586" s="3">
        <v>45555</v>
      </c>
      <c r="B586" t="s">
        <v>885</v>
      </c>
      <c r="C586" t="s">
        <v>1334</v>
      </c>
      <c r="D586" t="s">
        <v>1389</v>
      </c>
      <c r="E586" t="s">
        <v>1346</v>
      </c>
      <c r="F586" t="s">
        <v>1351</v>
      </c>
      <c r="G586" t="s">
        <v>1371</v>
      </c>
      <c r="H586" s="5">
        <v>47</v>
      </c>
      <c r="I586" s="9">
        <v>1878</v>
      </c>
      <c r="J586" s="9">
        <f t="shared" si="9"/>
        <v>88266</v>
      </c>
      <c r="K586" t="s">
        <v>1376</v>
      </c>
      <c r="L586" t="s">
        <v>1383</v>
      </c>
    </row>
    <row r="587" spans="1:12" x14ac:dyDescent="0.25">
      <c r="A587" s="3">
        <v>45351</v>
      </c>
      <c r="B587" t="s">
        <v>123</v>
      </c>
      <c r="C587" t="s">
        <v>1057</v>
      </c>
      <c r="D587" t="s">
        <v>1345</v>
      </c>
      <c r="E587" t="s">
        <v>1350</v>
      </c>
      <c r="F587" t="s">
        <v>1355</v>
      </c>
      <c r="G587" t="s">
        <v>1372</v>
      </c>
      <c r="H587" s="5">
        <v>2</v>
      </c>
      <c r="I587" s="9">
        <v>1838</v>
      </c>
      <c r="J587" s="9">
        <f t="shared" si="9"/>
        <v>3676</v>
      </c>
      <c r="K587" t="s">
        <v>1379</v>
      </c>
      <c r="L587" t="s">
        <v>1380</v>
      </c>
    </row>
    <row r="588" spans="1:12" x14ac:dyDescent="0.25">
      <c r="A588" s="3">
        <v>45498</v>
      </c>
      <c r="B588" t="s">
        <v>630</v>
      </c>
      <c r="C588" t="s">
        <v>1072</v>
      </c>
      <c r="D588" t="s">
        <v>1345</v>
      </c>
      <c r="E588" t="s">
        <v>1347</v>
      </c>
      <c r="F588" t="s">
        <v>1352</v>
      </c>
      <c r="G588" t="s">
        <v>1364</v>
      </c>
      <c r="H588" s="5">
        <v>26</v>
      </c>
      <c r="I588" s="9">
        <v>3499</v>
      </c>
      <c r="J588" s="9">
        <f t="shared" si="9"/>
        <v>90974</v>
      </c>
      <c r="K588" t="s">
        <v>1377</v>
      </c>
      <c r="L588" t="s">
        <v>1381</v>
      </c>
    </row>
    <row r="589" spans="1:12" x14ac:dyDescent="0.25">
      <c r="A589" s="3">
        <v>45311</v>
      </c>
      <c r="B589" t="s">
        <v>923</v>
      </c>
      <c r="C589" t="s">
        <v>1042</v>
      </c>
      <c r="D589" t="s">
        <v>1345</v>
      </c>
      <c r="E589" t="s">
        <v>1346</v>
      </c>
      <c r="F589" t="s">
        <v>1353</v>
      </c>
      <c r="G589" t="s">
        <v>1359</v>
      </c>
      <c r="H589" s="5">
        <v>13</v>
      </c>
      <c r="I589" s="9">
        <v>499</v>
      </c>
      <c r="J589" s="9">
        <f t="shared" si="9"/>
        <v>6487</v>
      </c>
      <c r="K589" t="s">
        <v>1379</v>
      </c>
      <c r="L589" t="s">
        <v>1380</v>
      </c>
    </row>
    <row r="590" spans="1:12" x14ac:dyDescent="0.25">
      <c r="A590" s="3">
        <v>45608</v>
      </c>
      <c r="B590" t="s">
        <v>408</v>
      </c>
      <c r="C590" t="s">
        <v>1049</v>
      </c>
      <c r="D590" t="s">
        <v>1389</v>
      </c>
      <c r="E590" t="s">
        <v>1349</v>
      </c>
      <c r="F590" t="s">
        <v>1352</v>
      </c>
      <c r="G590" t="s">
        <v>1364</v>
      </c>
      <c r="H590" s="5">
        <v>39</v>
      </c>
      <c r="I590" s="9">
        <v>2999</v>
      </c>
      <c r="J590" s="9">
        <f t="shared" si="9"/>
        <v>116961</v>
      </c>
      <c r="K590" t="s">
        <v>1376</v>
      </c>
      <c r="L590" t="s">
        <v>1382</v>
      </c>
    </row>
    <row r="591" spans="1:12" x14ac:dyDescent="0.25">
      <c r="A591" s="3">
        <v>45577</v>
      </c>
      <c r="B591" t="s">
        <v>922</v>
      </c>
      <c r="C591" t="s">
        <v>1255</v>
      </c>
      <c r="D591" t="s">
        <v>1344</v>
      </c>
      <c r="E591" t="s">
        <v>1347</v>
      </c>
      <c r="F591" t="s">
        <v>1353</v>
      </c>
      <c r="G591" t="s">
        <v>1359</v>
      </c>
      <c r="H591" s="5">
        <v>30</v>
      </c>
      <c r="I591" s="9">
        <v>499</v>
      </c>
      <c r="J591" s="9">
        <f t="shared" si="9"/>
        <v>14970</v>
      </c>
      <c r="K591" t="s">
        <v>1379</v>
      </c>
      <c r="L591" t="s">
        <v>1381</v>
      </c>
    </row>
    <row r="592" spans="1:12" x14ac:dyDescent="0.25">
      <c r="A592" s="3">
        <v>45386</v>
      </c>
      <c r="B592" t="s">
        <v>658</v>
      </c>
      <c r="C592" t="s">
        <v>1195</v>
      </c>
      <c r="D592" t="s">
        <v>1389</v>
      </c>
      <c r="E592" t="s">
        <v>1347</v>
      </c>
      <c r="F592" t="s">
        <v>1353</v>
      </c>
      <c r="G592" t="s">
        <v>1369</v>
      </c>
      <c r="H592" s="5">
        <v>19</v>
      </c>
      <c r="I592" s="9">
        <v>2499</v>
      </c>
      <c r="J592" s="9">
        <f t="shared" si="9"/>
        <v>47481</v>
      </c>
      <c r="K592" t="s">
        <v>1379</v>
      </c>
      <c r="L592" t="s">
        <v>1380</v>
      </c>
    </row>
    <row r="593" spans="1:12" x14ac:dyDescent="0.25">
      <c r="A593" s="3">
        <v>45634</v>
      </c>
      <c r="B593" t="s">
        <v>696</v>
      </c>
      <c r="C593" t="s">
        <v>1064</v>
      </c>
      <c r="D593" t="s">
        <v>1344</v>
      </c>
      <c r="E593" t="s">
        <v>1346</v>
      </c>
      <c r="F593" t="s">
        <v>1352</v>
      </c>
      <c r="G593" t="s">
        <v>1364</v>
      </c>
      <c r="H593" s="5">
        <v>13</v>
      </c>
      <c r="I593" s="9">
        <v>2499</v>
      </c>
      <c r="J593" s="9">
        <f t="shared" si="9"/>
        <v>32487</v>
      </c>
      <c r="K593" t="s">
        <v>1379</v>
      </c>
      <c r="L593" t="s">
        <v>1384</v>
      </c>
    </row>
    <row r="594" spans="1:12" x14ac:dyDescent="0.25">
      <c r="A594" s="3">
        <v>45466</v>
      </c>
      <c r="B594" t="s">
        <v>133</v>
      </c>
      <c r="C594" t="s">
        <v>1080</v>
      </c>
      <c r="D594" t="s">
        <v>1345</v>
      </c>
      <c r="E594" t="s">
        <v>1348</v>
      </c>
      <c r="F594" t="s">
        <v>1355</v>
      </c>
      <c r="G594" t="s">
        <v>1360</v>
      </c>
      <c r="H594" s="5">
        <v>23</v>
      </c>
      <c r="I594" s="9">
        <v>2499</v>
      </c>
      <c r="J594" s="9">
        <f t="shared" si="9"/>
        <v>57477</v>
      </c>
      <c r="K594" t="s">
        <v>1379</v>
      </c>
      <c r="L594" t="s">
        <v>1382</v>
      </c>
    </row>
    <row r="595" spans="1:12" x14ac:dyDescent="0.25">
      <c r="A595" s="3">
        <v>45360</v>
      </c>
      <c r="B595" t="s">
        <v>826</v>
      </c>
      <c r="C595" t="s">
        <v>1263</v>
      </c>
      <c r="D595" t="s">
        <v>1345</v>
      </c>
      <c r="E595" t="s">
        <v>1349</v>
      </c>
      <c r="F595" t="s">
        <v>1351</v>
      </c>
      <c r="G595" t="s">
        <v>1371</v>
      </c>
      <c r="H595" s="5">
        <v>26</v>
      </c>
      <c r="I595" s="9">
        <v>2999</v>
      </c>
      <c r="J595" s="9">
        <f t="shared" si="9"/>
        <v>77974</v>
      </c>
      <c r="K595" t="s">
        <v>1378</v>
      </c>
      <c r="L595" t="s">
        <v>1383</v>
      </c>
    </row>
    <row r="596" spans="1:12" x14ac:dyDescent="0.25">
      <c r="A596" s="3">
        <v>45513</v>
      </c>
      <c r="B596" t="s">
        <v>509</v>
      </c>
      <c r="C596" t="s">
        <v>1046</v>
      </c>
      <c r="D596" t="s">
        <v>1344</v>
      </c>
      <c r="E596" t="s">
        <v>1346</v>
      </c>
      <c r="F596" t="s">
        <v>1353</v>
      </c>
      <c r="G596" t="s">
        <v>1359</v>
      </c>
      <c r="H596" s="5">
        <v>18</v>
      </c>
      <c r="I596" s="9">
        <v>1499</v>
      </c>
      <c r="J596" s="9">
        <f t="shared" si="9"/>
        <v>26982</v>
      </c>
      <c r="K596" t="s">
        <v>1378</v>
      </c>
      <c r="L596" t="s">
        <v>1383</v>
      </c>
    </row>
    <row r="597" spans="1:12" x14ac:dyDescent="0.25">
      <c r="A597" s="3">
        <v>45656</v>
      </c>
      <c r="B597" t="s">
        <v>911</v>
      </c>
      <c r="C597" t="s">
        <v>1107</v>
      </c>
      <c r="D597" t="s">
        <v>1345</v>
      </c>
      <c r="E597" t="s">
        <v>1349</v>
      </c>
      <c r="F597" t="s">
        <v>1352</v>
      </c>
      <c r="G597" t="s">
        <v>1368</v>
      </c>
      <c r="H597" s="5">
        <v>42</v>
      </c>
      <c r="I597" s="9">
        <v>499</v>
      </c>
      <c r="J597" s="9">
        <f t="shared" si="9"/>
        <v>20958</v>
      </c>
      <c r="K597" t="s">
        <v>1379</v>
      </c>
      <c r="L597" t="s">
        <v>1380</v>
      </c>
    </row>
    <row r="598" spans="1:12" x14ac:dyDescent="0.25">
      <c r="A598" s="3">
        <v>45311</v>
      </c>
      <c r="B598" t="s">
        <v>300</v>
      </c>
      <c r="C598" t="s">
        <v>1209</v>
      </c>
      <c r="D598" t="s">
        <v>1389</v>
      </c>
      <c r="E598" t="s">
        <v>1349</v>
      </c>
      <c r="F598" t="s">
        <v>1352</v>
      </c>
      <c r="G598" t="s">
        <v>1368</v>
      </c>
      <c r="H598" s="5">
        <v>8</v>
      </c>
      <c r="I598" s="9">
        <v>199</v>
      </c>
      <c r="J598" s="9">
        <f t="shared" si="9"/>
        <v>1592</v>
      </c>
      <c r="K598" t="s">
        <v>1379</v>
      </c>
      <c r="L598" t="s">
        <v>1380</v>
      </c>
    </row>
    <row r="599" spans="1:12" x14ac:dyDescent="0.25">
      <c r="A599" s="3">
        <v>45431</v>
      </c>
      <c r="B599" t="s">
        <v>880</v>
      </c>
      <c r="C599" t="s">
        <v>1236</v>
      </c>
      <c r="D599" t="s">
        <v>1344</v>
      </c>
      <c r="E599" t="s">
        <v>1349</v>
      </c>
      <c r="F599" t="s">
        <v>1352</v>
      </c>
      <c r="G599" t="s">
        <v>1364</v>
      </c>
      <c r="H599" s="5">
        <v>26</v>
      </c>
      <c r="I599" s="9">
        <v>1499</v>
      </c>
      <c r="J599" s="9">
        <f t="shared" si="9"/>
        <v>38974</v>
      </c>
      <c r="K599" t="s">
        <v>1379</v>
      </c>
      <c r="L599" t="s">
        <v>1380</v>
      </c>
    </row>
    <row r="600" spans="1:12" x14ac:dyDescent="0.25">
      <c r="A600" s="3">
        <v>45545</v>
      </c>
      <c r="B600" t="s">
        <v>278</v>
      </c>
      <c r="C600" t="s">
        <v>1200</v>
      </c>
      <c r="D600" t="s">
        <v>1345</v>
      </c>
      <c r="E600" t="s">
        <v>1349</v>
      </c>
      <c r="F600" t="s">
        <v>1354</v>
      </c>
      <c r="G600" t="s">
        <v>1363</v>
      </c>
      <c r="H600" s="5">
        <v>27</v>
      </c>
      <c r="I600" s="9">
        <v>199</v>
      </c>
      <c r="J600" s="9">
        <f t="shared" si="9"/>
        <v>5373</v>
      </c>
      <c r="K600" t="s">
        <v>1379</v>
      </c>
      <c r="L600" t="s">
        <v>1382</v>
      </c>
    </row>
    <row r="601" spans="1:12" x14ac:dyDescent="0.25">
      <c r="A601" s="3">
        <v>45319</v>
      </c>
      <c r="B601" t="s">
        <v>575</v>
      </c>
      <c r="C601" t="s">
        <v>1067</v>
      </c>
      <c r="D601" t="s">
        <v>1345</v>
      </c>
      <c r="E601" t="s">
        <v>1348</v>
      </c>
      <c r="F601" t="s">
        <v>1354</v>
      </c>
      <c r="G601" t="s">
        <v>1366</v>
      </c>
      <c r="H601" s="5">
        <v>1</v>
      </c>
      <c r="I601" s="9">
        <v>3499</v>
      </c>
      <c r="J601" s="9">
        <f t="shared" si="9"/>
        <v>3499</v>
      </c>
      <c r="K601" t="s">
        <v>1377</v>
      </c>
      <c r="L601" t="s">
        <v>1382</v>
      </c>
    </row>
    <row r="602" spans="1:12" x14ac:dyDescent="0.25">
      <c r="A602" s="3">
        <v>45587</v>
      </c>
      <c r="B602" t="s">
        <v>915</v>
      </c>
      <c r="C602" t="s">
        <v>1266</v>
      </c>
      <c r="D602" t="s">
        <v>1389</v>
      </c>
      <c r="E602" t="s">
        <v>1348</v>
      </c>
      <c r="F602" t="s">
        <v>1353</v>
      </c>
      <c r="G602" t="s">
        <v>1369</v>
      </c>
      <c r="H602" s="5">
        <v>40</v>
      </c>
      <c r="I602" s="9">
        <v>499</v>
      </c>
      <c r="J602" s="9">
        <f t="shared" si="9"/>
        <v>19960</v>
      </c>
      <c r="K602" t="s">
        <v>1379</v>
      </c>
      <c r="L602" t="s">
        <v>1384</v>
      </c>
    </row>
    <row r="603" spans="1:12" x14ac:dyDescent="0.25">
      <c r="A603" s="3">
        <v>45651</v>
      </c>
      <c r="B603" t="s">
        <v>980</v>
      </c>
      <c r="C603" t="s">
        <v>1342</v>
      </c>
      <c r="D603" t="s">
        <v>1345</v>
      </c>
      <c r="E603" t="s">
        <v>1348</v>
      </c>
      <c r="F603" t="s">
        <v>1352</v>
      </c>
      <c r="G603" t="s">
        <v>1364</v>
      </c>
      <c r="H603" s="5">
        <v>37</v>
      </c>
      <c r="I603" s="9">
        <v>3499</v>
      </c>
      <c r="J603" s="9">
        <f t="shared" si="9"/>
        <v>129463</v>
      </c>
      <c r="K603" t="s">
        <v>1377</v>
      </c>
      <c r="L603" t="s">
        <v>1384</v>
      </c>
    </row>
    <row r="604" spans="1:12" x14ac:dyDescent="0.25">
      <c r="A604" s="3">
        <v>45617</v>
      </c>
      <c r="B604" t="s">
        <v>662</v>
      </c>
      <c r="C604" t="s">
        <v>1146</v>
      </c>
      <c r="D604" t="s">
        <v>1389</v>
      </c>
      <c r="E604" t="s">
        <v>1349</v>
      </c>
      <c r="F604" t="s">
        <v>1355</v>
      </c>
      <c r="G604" t="s">
        <v>1374</v>
      </c>
      <c r="H604" s="5">
        <v>4</v>
      </c>
      <c r="I604" s="9">
        <v>2999</v>
      </c>
      <c r="J604" s="9">
        <f t="shared" si="9"/>
        <v>11996</v>
      </c>
      <c r="K604" t="s">
        <v>1379</v>
      </c>
      <c r="L604" t="s">
        <v>1381</v>
      </c>
    </row>
    <row r="605" spans="1:12" x14ac:dyDescent="0.25">
      <c r="A605" s="3">
        <v>45438</v>
      </c>
      <c r="B605" t="s">
        <v>297</v>
      </c>
      <c r="C605" t="s">
        <v>1208</v>
      </c>
      <c r="D605" t="s">
        <v>1345</v>
      </c>
      <c r="E605" t="s">
        <v>1349</v>
      </c>
      <c r="F605" t="s">
        <v>1353</v>
      </c>
      <c r="G605" t="s">
        <v>1367</v>
      </c>
      <c r="H605" s="5">
        <v>6</v>
      </c>
      <c r="I605" s="9">
        <v>1499</v>
      </c>
      <c r="J605" s="9">
        <f t="shared" si="9"/>
        <v>8994</v>
      </c>
      <c r="K605" t="s">
        <v>1379</v>
      </c>
      <c r="L605" t="s">
        <v>1384</v>
      </c>
    </row>
    <row r="606" spans="1:12" x14ac:dyDescent="0.25">
      <c r="A606" s="3">
        <v>45334</v>
      </c>
      <c r="B606" t="s">
        <v>735</v>
      </c>
      <c r="C606" t="s">
        <v>1119</v>
      </c>
      <c r="D606" t="s">
        <v>1389</v>
      </c>
      <c r="E606" t="s">
        <v>1350</v>
      </c>
      <c r="F606" t="s">
        <v>1353</v>
      </c>
      <c r="G606" t="s">
        <v>1365</v>
      </c>
      <c r="H606" s="5">
        <v>4</v>
      </c>
      <c r="I606" s="9">
        <v>999</v>
      </c>
      <c r="J606" s="9">
        <f t="shared" si="9"/>
        <v>3996</v>
      </c>
      <c r="K606" t="s">
        <v>1379</v>
      </c>
      <c r="L606" t="s">
        <v>1384</v>
      </c>
    </row>
    <row r="607" spans="1:12" x14ac:dyDescent="0.25">
      <c r="A607" s="3">
        <v>45329</v>
      </c>
      <c r="B607" t="s">
        <v>986</v>
      </c>
      <c r="C607" t="s">
        <v>1228</v>
      </c>
      <c r="D607" t="s">
        <v>1345</v>
      </c>
      <c r="E607" t="s">
        <v>1349</v>
      </c>
      <c r="F607" t="s">
        <v>1355</v>
      </c>
      <c r="G607" t="s">
        <v>1374</v>
      </c>
      <c r="H607" s="5">
        <v>37</v>
      </c>
      <c r="I607" s="9">
        <v>2499</v>
      </c>
      <c r="J607" s="9">
        <f t="shared" si="9"/>
        <v>92463</v>
      </c>
      <c r="K607" t="s">
        <v>1376</v>
      </c>
      <c r="L607" t="s">
        <v>1384</v>
      </c>
    </row>
    <row r="608" spans="1:12" x14ac:dyDescent="0.25">
      <c r="A608" s="3">
        <v>45386</v>
      </c>
      <c r="B608" t="s">
        <v>361</v>
      </c>
      <c r="C608" t="s">
        <v>1154</v>
      </c>
      <c r="D608" t="s">
        <v>1344</v>
      </c>
      <c r="E608" t="s">
        <v>1347</v>
      </c>
      <c r="F608" t="s">
        <v>1351</v>
      </c>
      <c r="G608" t="s">
        <v>1356</v>
      </c>
      <c r="H608" s="5">
        <v>3</v>
      </c>
      <c r="I608" s="9">
        <v>999</v>
      </c>
      <c r="J608" s="9">
        <f t="shared" si="9"/>
        <v>2997</v>
      </c>
      <c r="K608" t="s">
        <v>1379</v>
      </c>
      <c r="L608" t="s">
        <v>1380</v>
      </c>
    </row>
    <row r="609" spans="1:12" x14ac:dyDescent="0.25">
      <c r="A609" s="3">
        <v>45480</v>
      </c>
      <c r="B609" t="s">
        <v>698</v>
      </c>
      <c r="C609" t="s">
        <v>1263</v>
      </c>
      <c r="D609" t="s">
        <v>1389</v>
      </c>
      <c r="E609" t="s">
        <v>1349</v>
      </c>
      <c r="F609" t="s">
        <v>1352</v>
      </c>
      <c r="G609" t="s">
        <v>1364</v>
      </c>
      <c r="H609" s="5">
        <v>46</v>
      </c>
      <c r="I609" s="9">
        <v>3499</v>
      </c>
      <c r="J609" s="9">
        <f t="shared" si="9"/>
        <v>160954</v>
      </c>
      <c r="K609" t="s">
        <v>1377</v>
      </c>
      <c r="L609" t="s">
        <v>1384</v>
      </c>
    </row>
    <row r="610" spans="1:12" x14ac:dyDescent="0.25">
      <c r="A610" s="3">
        <v>45380</v>
      </c>
      <c r="B610" t="s">
        <v>633</v>
      </c>
      <c r="C610" t="s">
        <v>1198</v>
      </c>
      <c r="D610" t="s">
        <v>1345</v>
      </c>
      <c r="E610" t="s">
        <v>1350</v>
      </c>
      <c r="F610" t="s">
        <v>1353</v>
      </c>
      <c r="G610" t="s">
        <v>1369</v>
      </c>
      <c r="H610" s="5">
        <v>22</v>
      </c>
      <c r="I610" s="9">
        <v>3499</v>
      </c>
      <c r="J610" s="9">
        <f t="shared" si="9"/>
        <v>76978</v>
      </c>
      <c r="K610" t="s">
        <v>1379</v>
      </c>
      <c r="L610" t="s">
        <v>1384</v>
      </c>
    </row>
    <row r="611" spans="1:12" x14ac:dyDescent="0.25">
      <c r="A611" s="3">
        <v>45304</v>
      </c>
      <c r="B611" t="s">
        <v>643</v>
      </c>
      <c r="C611" t="s">
        <v>1263</v>
      </c>
      <c r="D611" t="s">
        <v>1344</v>
      </c>
      <c r="E611" t="s">
        <v>1347</v>
      </c>
      <c r="F611" t="s">
        <v>1351</v>
      </c>
      <c r="G611" t="s">
        <v>1357</v>
      </c>
      <c r="H611" s="5">
        <v>18</v>
      </c>
      <c r="I611" s="9">
        <v>199</v>
      </c>
      <c r="J611" s="9">
        <f t="shared" si="9"/>
        <v>3582</v>
      </c>
      <c r="K611" t="s">
        <v>1379</v>
      </c>
      <c r="L611" t="s">
        <v>1384</v>
      </c>
    </row>
    <row r="612" spans="1:12" x14ac:dyDescent="0.25">
      <c r="A612" s="3">
        <v>45394</v>
      </c>
      <c r="B612" t="s">
        <v>730</v>
      </c>
      <c r="C612" t="s">
        <v>1112</v>
      </c>
      <c r="D612" t="s">
        <v>1344</v>
      </c>
      <c r="E612" t="s">
        <v>1347</v>
      </c>
      <c r="F612" t="s">
        <v>1352</v>
      </c>
      <c r="G612" t="s">
        <v>1358</v>
      </c>
      <c r="H612" s="5">
        <v>37</v>
      </c>
      <c r="I612" s="9">
        <v>1499</v>
      </c>
      <c r="J612" s="9">
        <f t="shared" si="9"/>
        <v>55463</v>
      </c>
      <c r="K612" t="s">
        <v>1376</v>
      </c>
      <c r="L612" t="s">
        <v>1381</v>
      </c>
    </row>
    <row r="613" spans="1:12" x14ac:dyDescent="0.25">
      <c r="A613" s="3">
        <v>45568</v>
      </c>
      <c r="B613" t="s">
        <v>336</v>
      </c>
      <c r="C613" t="s">
        <v>1223</v>
      </c>
      <c r="D613" t="s">
        <v>1345</v>
      </c>
      <c r="E613" t="s">
        <v>1348</v>
      </c>
      <c r="F613" t="s">
        <v>1352</v>
      </c>
      <c r="G613" t="s">
        <v>1375</v>
      </c>
      <c r="H613" s="5">
        <v>14</v>
      </c>
      <c r="I613" s="9">
        <v>2499</v>
      </c>
      <c r="J613" s="9">
        <f t="shared" si="9"/>
        <v>34986</v>
      </c>
      <c r="K613" t="s">
        <v>1379</v>
      </c>
      <c r="L613" t="s">
        <v>1382</v>
      </c>
    </row>
    <row r="614" spans="1:12" x14ac:dyDescent="0.25">
      <c r="A614" s="3">
        <v>45555</v>
      </c>
      <c r="B614" t="s">
        <v>937</v>
      </c>
      <c r="C614" t="s">
        <v>1213</v>
      </c>
      <c r="D614" t="s">
        <v>1389</v>
      </c>
      <c r="E614" t="s">
        <v>1346</v>
      </c>
      <c r="F614" t="s">
        <v>1354</v>
      </c>
      <c r="G614" t="s">
        <v>1362</v>
      </c>
      <c r="H614" s="5">
        <v>15</v>
      </c>
      <c r="I614" s="9">
        <v>999</v>
      </c>
      <c r="J614" s="9">
        <f t="shared" si="9"/>
        <v>14985</v>
      </c>
      <c r="K614" t="s">
        <v>1379</v>
      </c>
      <c r="L614" t="s">
        <v>1380</v>
      </c>
    </row>
    <row r="615" spans="1:12" x14ac:dyDescent="0.25">
      <c r="A615" s="3">
        <v>45546</v>
      </c>
      <c r="B615" t="s">
        <v>404</v>
      </c>
      <c r="C615" t="s">
        <v>1252</v>
      </c>
      <c r="D615" t="s">
        <v>1344</v>
      </c>
      <c r="E615" t="s">
        <v>1348</v>
      </c>
      <c r="F615" t="s">
        <v>1354</v>
      </c>
      <c r="G615" t="s">
        <v>1366</v>
      </c>
      <c r="H615" s="5">
        <v>3</v>
      </c>
      <c r="I615" s="9">
        <v>2499</v>
      </c>
      <c r="J615" s="9">
        <f t="shared" si="9"/>
        <v>7497</v>
      </c>
      <c r="K615" t="s">
        <v>1378</v>
      </c>
      <c r="L615" t="s">
        <v>1382</v>
      </c>
    </row>
    <row r="616" spans="1:12" x14ac:dyDescent="0.25">
      <c r="A616" s="3">
        <v>45568</v>
      </c>
      <c r="B616" t="s">
        <v>434</v>
      </c>
      <c r="C616" t="s">
        <v>1217</v>
      </c>
      <c r="D616" t="s">
        <v>1345</v>
      </c>
      <c r="E616" t="s">
        <v>1349</v>
      </c>
      <c r="F616" t="s">
        <v>1355</v>
      </c>
      <c r="G616" t="s">
        <v>1374</v>
      </c>
      <c r="H616" s="5">
        <v>19</v>
      </c>
      <c r="I616" s="9">
        <v>2499</v>
      </c>
      <c r="J616" s="9">
        <f t="shared" si="9"/>
        <v>47481</v>
      </c>
      <c r="K616" t="s">
        <v>1379</v>
      </c>
      <c r="L616" t="s">
        <v>1382</v>
      </c>
    </row>
    <row r="617" spans="1:12" x14ac:dyDescent="0.25">
      <c r="A617" s="3">
        <v>45403</v>
      </c>
      <c r="B617" t="s">
        <v>797</v>
      </c>
      <c r="C617" t="s">
        <v>1270</v>
      </c>
      <c r="D617" t="s">
        <v>1344</v>
      </c>
      <c r="E617" t="s">
        <v>1346</v>
      </c>
      <c r="F617" t="s">
        <v>1355</v>
      </c>
      <c r="G617" t="s">
        <v>1372</v>
      </c>
      <c r="H617" s="5">
        <v>11</v>
      </c>
      <c r="I617" s="9">
        <v>199</v>
      </c>
      <c r="J617" s="9">
        <f t="shared" si="9"/>
        <v>2189</v>
      </c>
      <c r="K617" t="s">
        <v>1378</v>
      </c>
      <c r="L617" t="s">
        <v>1382</v>
      </c>
    </row>
    <row r="618" spans="1:12" x14ac:dyDescent="0.25">
      <c r="A618" s="3">
        <v>45404</v>
      </c>
      <c r="B618" t="s">
        <v>566</v>
      </c>
      <c r="C618" t="s">
        <v>1113</v>
      </c>
      <c r="D618" t="s">
        <v>1344</v>
      </c>
      <c r="E618" t="s">
        <v>1348</v>
      </c>
      <c r="F618" t="s">
        <v>1352</v>
      </c>
      <c r="G618" t="s">
        <v>1364</v>
      </c>
      <c r="H618" s="5">
        <v>45</v>
      </c>
      <c r="I618" s="9">
        <v>1999</v>
      </c>
      <c r="J618" s="9">
        <f t="shared" si="9"/>
        <v>89955</v>
      </c>
      <c r="K618" t="s">
        <v>1379</v>
      </c>
      <c r="L618" t="s">
        <v>1383</v>
      </c>
    </row>
    <row r="619" spans="1:12" x14ac:dyDescent="0.25">
      <c r="A619" s="3">
        <v>45427</v>
      </c>
      <c r="B619" t="s">
        <v>163</v>
      </c>
      <c r="C619" t="s">
        <v>1138</v>
      </c>
      <c r="D619" t="s">
        <v>1389</v>
      </c>
      <c r="E619" t="s">
        <v>1349</v>
      </c>
      <c r="F619" t="s">
        <v>1354</v>
      </c>
      <c r="G619" t="s">
        <v>1363</v>
      </c>
      <c r="H619" s="5">
        <v>48</v>
      </c>
      <c r="I619" s="9">
        <v>3499</v>
      </c>
      <c r="J619" s="9">
        <f t="shared" si="9"/>
        <v>167952</v>
      </c>
      <c r="K619" t="s">
        <v>1377</v>
      </c>
      <c r="L619" t="s">
        <v>1383</v>
      </c>
    </row>
    <row r="620" spans="1:12" x14ac:dyDescent="0.25">
      <c r="A620" s="3">
        <v>45417</v>
      </c>
      <c r="B620" t="s">
        <v>568</v>
      </c>
      <c r="C620" t="s">
        <v>1054</v>
      </c>
      <c r="D620" t="s">
        <v>1389</v>
      </c>
      <c r="E620" t="s">
        <v>1350</v>
      </c>
      <c r="F620" t="s">
        <v>1351</v>
      </c>
      <c r="G620" t="s">
        <v>1357</v>
      </c>
      <c r="H620" s="5">
        <v>27</v>
      </c>
      <c r="I620" s="9">
        <v>199</v>
      </c>
      <c r="J620" s="9">
        <f t="shared" si="9"/>
        <v>5373</v>
      </c>
      <c r="K620" t="s">
        <v>1376</v>
      </c>
      <c r="L620" t="s">
        <v>1384</v>
      </c>
    </row>
    <row r="621" spans="1:12" x14ac:dyDescent="0.25">
      <c r="A621" s="3">
        <v>45558</v>
      </c>
      <c r="B621" t="s">
        <v>250</v>
      </c>
      <c r="C621" t="s">
        <v>1186</v>
      </c>
      <c r="D621" t="s">
        <v>1345</v>
      </c>
      <c r="E621" t="s">
        <v>1348</v>
      </c>
      <c r="F621" t="s">
        <v>1353</v>
      </c>
      <c r="G621" t="s">
        <v>1369</v>
      </c>
      <c r="H621" s="5">
        <v>14</v>
      </c>
      <c r="I621" s="9">
        <v>1845</v>
      </c>
      <c r="J621" s="9">
        <f t="shared" si="9"/>
        <v>25830</v>
      </c>
      <c r="K621" t="s">
        <v>1379</v>
      </c>
      <c r="L621" t="s">
        <v>1382</v>
      </c>
    </row>
    <row r="622" spans="1:12" x14ac:dyDescent="0.25">
      <c r="A622" s="3">
        <v>45461</v>
      </c>
      <c r="B622" t="s">
        <v>383</v>
      </c>
      <c r="C622" t="s">
        <v>1073</v>
      </c>
      <c r="D622" t="s">
        <v>1345</v>
      </c>
      <c r="E622" t="s">
        <v>1347</v>
      </c>
      <c r="F622" t="s">
        <v>1353</v>
      </c>
      <c r="G622" t="s">
        <v>1359</v>
      </c>
      <c r="H622" s="5">
        <v>3</v>
      </c>
      <c r="I622" s="9">
        <v>2999</v>
      </c>
      <c r="J622" s="9">
        <f t="shared" si="9"/>
        <v>8997</v>
      </c>
      <c r="K622" t="s">
        <v>1377</v>
      </c>
      <c r="L622" t="s">
        <v>1383</v>
      </c>
    </row>
    <row r="623" spans="1:12" x14ac:dyDescent="0.25">
      <c r="A623" s="3">
        <v>45369</v>
      </c>
      <c r="B623" t="s">
        <v>400</v>
      </c>
      <c r="C623" t="s">
        <v>1250</v>
      </c>
      <c r="D623" t="s">
        <v>1345</v>
      </c>
      <c r="E623" t="s">
        <v>1349</v>
      </c>
      <c r="F623" t="s">
        <v>1353</v>
      </c>
      <c r="G623" t="s">
        <v>1365</v>
      </c>
      <c r="H623" s="5">
        <v>30</v>
      </c>
      <c r="I623" s="9">
        <v>2499</v>
      </c>
      <c r="J623" s="9">
        <f t="shared" si="9"/>
        <v>74970</v>
      </c>
      <c r="K623" t="s">
        <v>1379</v>
      </c>
      <c r="L623" t="s">
        <v>1382</v>
      </c>
    </row>
    <row r="624" spans="1:12" x14ac:dyDescent="0.25">
      <c r="A624" s="3">
        <v>45526</v>
      </c>
      <c r="B624" t="s">
        <v>273</v>
      </c>
      <c r="C624" t="s">
        <v>1028</v>
      </c>
      <c r="D624" t="s">
        <v>1389</v>
      </c>
      <c r="E624" t="s">
        <v>1350</v>
      </c>
      <c r="F624" t="s">
        <v>1353</v>
      </c>
      <c r="G624" t="s">
        <v>1369</v>
      </c>
      <c r="H624" s="5">
        <v>4</v>
      </c>
      <c r="I624" s="9">
        <v>1845</v>
      </c>
      <c r="J624" s="9">
        <f t="shared" si="9"/>
        <v>7380</v>
      </c>
      <c r="K624" t="s">
        <v>1377</v>
      </c>
      <c r="L624" t="s">
        <v>1380</v>
      </c>
    </row>
    <row r="625" spans="1:12" x14ac:dyDescent="0.25">
      <c r="A625" s="3">
        <v>45612</v>
      </c>
      <c r="B625" t="s">
        <v>770</v>
      </c>
      <c r="C625" t="s">
        <v>1058</v>
      </c>
      <c r="D625" t="s">
        <v>1344</v>
      </c>
      <c r="E625" t="s">
        <v>1347</v>
      </c>
      <c r="F625" t="s">
        <v>1352</v>
      </c>
      <c r="G625" t="s">
        <v>1368</v>
      </c>
      <c r="H625" s="5">
        <v>7</v>
      </c>
      <c r="I625" s="9">
        <v>199</v>
      </c>
      <c r="J625" s="9">
        <f t="shared" si="9"/>
        <v>1393</v>
      </c>
      <c r="K625" t="s">
        <v>1379</v>
      </c>
      <c r="L625" t="s">
        <v>1380</v>
      </c>
    </row>
    <row r="626" spans="1:12" x14ac:dyDescent="0.25">
      <c r="A626" s="3">
        <v>45593</v>
      </c>
      <c r="B626" t="s">
        <v>91</v>
      </c>
      <c r="C626" t="s">
        <v>1089</v>
      </c>
      <c r="D626" t="s">
        <v>1344</v>
      </c>
      <c r="E626" t="s">
        <v>1347</v>
      </c>
      <c r="F626" t="s">
        <v>1355</v>
      </c>
      <c r="G626" t="s">
        <v>1373</v>
      </c>
      <c r="H626" s="5">
        <v>2</v>
      </c>
      <c r="I626" s="9">
        <v>1838</v>
      </c>
      <c r="J626" s="9">
        <f t="shared" si="9"/>
        <v>3676</v>
      </c>
      <c r="K626" t="s">
        <v>1376</v>
      </c>
      <c r="L626" t="s">
        <v>1384</v>
      </c>
    </row>
    <row r="627" spans="1:12" x14ac:dyDescent="0.25">
      <c r="A627" s="3">
        <v>45445</v>
      </c>
      <c r="B627" t="s">
        <v>86</v>
      </c>
      <c r="C627" t="s">
        <v>1088</v>
      </c>
      <c r="D627" t="s">
        <v>1345</v>
      </c>
      <c r="E627" t="s">
        <v>1348</v>
      </c>
      <c r="F627" t="s">
        <v>1351</v>
      </c>
      <c r="G627" t="s">
        <v>1357</v>
      </c>
      <c r="H627" s="5">
        <v>36</v>
      </c>
      <c r="I627" s="9">
        <v>1999</v>
      </c>
      <c r="J627" s="9">
        <f t="shared" si="9"/>
        <v>71964</v>
      </c>
      <c r="K627" t="s">
        <v>1376</v>
      </c>
      <c r="L627" t="s">
        <v>1383</v>
      </c>
    </row>
    <row r="628" spans="1:12" x14ac:dyDescent="0.25">
      <c r="A628" s="3">
        <v>45314</v>
      </c>
      <c r="B628" t="s">
        <v>280</v>
      </c>
      <c r="C628" t="s">
        <v>1184</v>
      </c>
      <c r="D628" t="s">
        <v>1389</v>
      </c>
      <c r="E628" t="s">
        <v>1347</v>
      </c>
      <c r="F628" t="s">
        <v>1355</v>
      </c>
      <c r="G628" t="s">
        <v>1373</v>
      </c>
      <c r="H628" s="5">
        <v>42</v>
      </c>
      <c r="I628" s="9">
        <v>1499</v>
      </c>
      <c r="J628" s="9">
        <f t="shared" si="9"/>
        <v>62958</v>
      </c>
      <c r="K628" t="s">
        <v>1379</v>
      </c>
      <c r="L628" t="s">
        <v>1382</v>
      </c>
    </row>
    <row r="629" spans="1:12" x14ac:dyDescent="0.25">
      <c r="A629" s="3">
        <v>45459</v>
      </c>
      <c r="B629" t="s">
        <v>270</v>
      </c>
      <c r="C629" t="s">
        <v>1195</v>
      </c>
      <c r="D629" t="s">
        <v>1389</v>
      </c>
      <c r="E629" t="s">
        <v>1349</v>
      </c>
      <c r="F629" t="s">
        <v>1354</v>
      </c>
      <c r="G629" t="s">
        <v>1363</v>
      </c>
      <c r="H629" s="5">
        <v>7</v>
      </c>
      <c r="I629" s="9">
        <v>3499</v>
      </c>
      <c r="J629" s="9">
        <f t="shared" si="9"/>
        <v>24493</v>
      </c>
      <c r="K629" t="s">
        <v>1379</v>
      </c>
      <c r="L629" t="s">
        <v>1382</v>
      </c>
    </row>
    <row r="630" spans="1:12" x14ac:dyDescent="0.25">
      <c r="A630" s="3">
        <v>45435</v>
      </c>
      <c r="B630" t="s">
        <v>869</v>
      </c>
      <c r="C630" t="s">
        <v>1330</v>
      </c>
      <c r="D630" t="s">
        <v>1345</v>
      </c>
      <c r="E630" t="s">
        <v>1346</v>
      </c>
      <c r="F630" t="s">
        <v>1355</v>
      </c>
      <c r="G630" t="s">
        <v>1374</v>
      </c>
      <c r="H630" s="5">
        <v>11</v>
      </c>
      <c r="I630" s="9">
        <v>1838</v>
      </c>
      <c r="J630" s="9">
        <f t="shared" si="9"/>
        <v>20218</v>
      </c>
      <c r="K630" t="s">
        <v>1378</v>
      </c>
      <c r="L630" t="s">
        <v>1381</v>
      </c>
    </row>
    <row r="631" spans="1:12" x14ac:dyDescent="0.25">
      <c r="A631" s="3">
        <v>45620</v>
      </c>
      <c r="B631" t="s">
        <v>465</v>
      </c>
      <c r="C631" t="s">
        <v>1025</v>
      </c>
      <c r="D631" t="s">
        <v>1389</v>
      </c>
      <c r="E631" t="s">
        <v>1349</v>
      </c>
      <c r="F631" t="s">
        <v>1354</v>
      </c>
      <c r="G631" t="s">
        <v>1363</v>
      </c>
      <c r="H631" s="5">
        <v>19</v>
      </c>
      <c r="I631" s="9">
        <v>2999</v>
      </c>
      <c r="J631" s="9">
        <f t="shared" si="9"/>
        <v>56981</v>
      </c>
      <c r="K631" t="s">
        <v>1379</v>
      </c>
      <c r="L631" t="s">
        <v>1382</v>
      </c>
    </row>
    <row r="632" spans="1:12" x14ac:dyDescent="0.25">
      <c r="A632" s="3">
        <v>45603</v>
      </c>
      <c r="B632" t="s">
        <v>844</v>
      </c>
      <c r="C632" t="s">
        <v>1187</v>
      </c>
      <c r="D632" t="s">
        <v>1345</v>
      </c>
      <c r="E632" t="s">
        <v>1350</v>
      </c>
      <c r="F632" t="s">
        <v>1353</v>
      </c>
      <c r="G632" t="s">
        <v>1367</v>
      </c>
      <c r="H632" s="5">
        <v>44</v>
      </c>
      <c r="I632" s="9">
        <v>2499</v>
      </c>
      <c r="J632" s="9">
        <f t="shared" si="9"/>
        <v>109956</v>
      </c>
      <c r="K632" t="s">
        <v>1376</v>
      </c>
      <c r="L632" t="s">
        <v>1383</v>
      </c>
    </row>
    <row r="633" spans="1:12" x14ac:dyDescent="0.25">
      <c r="A633" s="3">
        <v>45390</v>
      </c>
      <c r="B633" t="s">
        <v>486</v>
      </c>
      <c r="C633" t="s">
        <v>1098</v>
      </c>
      <c r="D633" t="s">
        <v>1389</v>
      </c>
      <c r="E633" t="s">
        <v>1349</v>
      </c>
      <c r="F633" t="s">
        <v>1355</v>
      </c>
      <c r="G633" t="s">
        <v>1374</v>
      </c>
      <c r="H633" s="5">
        <v>2</v>
      </c>
      <c r="I633" s="9">
        <v>2499</v>
      </c>
      <c r="J633" s="9">
        <f t="shared" si="9"/>
        <v>4998</v>
      </c>
      <c r="K633" t="s">
        <v>1379</v>
      </c>
      <c r="L633" t="s">
        <v>1383</v>
      </c>
    </row>
    <row r="634" spans="1:12" x14ac:dyDescent="0.25">
      <c r="A634" s="3">
        <v>45361</v>
      </c>
      <c r="B634" t="s">
        <v>760</v>
      </c>
      <c r="C634" t="s">
        <v>1045</v>
      </c>
      <c r="D634" t="s">
        <v>1345</v>
      </c>
      <c r="E634" t="s">
        <v>1350</v>
      </c>
      <c r="F634" t="s">
        <v>1354</v>
      </c>
      <c r="G634" t="s">
        <v>1366</v>
      </c>
      <c r="H634" s="5">
        <v>44</v>
      </c>
      <c r="I634" s="9">
        <v>2999</v>
      </c>
      <c r="J634" s="9">
        <f t="shared" si="9"/>
        <v>131956</v>
      </c>
      <c r="K634" t="s">
        <v>1379</v>
      </c>
      <c r="L634" t="s">
        <v>1382</v>
      </c>
    </row>
    <row r="635" spans="1:12" x14ac:dyDescent="0.25">
      <c r="A635" s="3">
        <v>45405</v>
      </c>
      <c r="B635" t="s">
        <v>837</v>
      </c>
      <c r="C635" t="s">
        <v>1194</v>
      </c>
      <c r="D635" t="s">
        <v>1344</v>
      </c>
      <c r="E635" t="s">
        <v>1346</v>
      </c>
      <c r="F635" t="s">
        <v>1353</v>
      </c>
      <c r="G635" t="s">
        <v>1359</v>
      </c>
      <c r="H635" s="5">
        <v>11</v>
      </c>
      <c r="I635" s="9">
        <v>199</v>
      </c>
      <c r="J635" s="9">
        <f t="shared" si="9"/>
        <v>2189</v>
      </c>
      <c r="K635" t="s">
        <v>1377</v>
      </c>
      <c r="L635" t="s">
        <v>1382</v>
      </c>
    </row>
    <row r="636" spans="1:12" x14ac:dyDescent="0.25">
      <c r="A636" s="3">
        <v>45648</v>
      </c>
      <c r="B636" t="s">
        <v>420</v>
      </c>
      <c r="C636" t="s">
        <v>1259</v>
      </c>
      <c r="D636" t="s">
        <v>1389</v>
      </c>
      <c r="E636" t="s">
        <v>1348</v>
      </c>
      <c r="F636" t="s">
        <v>1351</v>
      </c>
      <c r="G636" t="s">
        <v>1357</v>
      </c>
      <c r="H636" s="5">
        <v>35</v>
      </c>
      <c r="I636" s="9">
        <v>999</v>
      </c>
      <c r="J636" s="9">
        <f t="shared" si="9"/>
        <v>34965</v>
      </c>
      <c r="K636" t="s">
        <v>1379</v>
      </c>
      <c r="L636" t="s">
        <v>1382</v>
      </c>
    </row>
    <row r="637" spans="1:12" x14ac:dyDescent="0.25">
      <c r="A637" s="3">
        <v>45392</v>
      </c>
      <c r="B637" t="s">
        <v>772</v>
      </c>
      <c r="C637" t="s">
        <v>1230</v>
      </c>
      <c r="D637" t="s">
        <v>1389</v>
      </c>
      <c r="E637" t="s">
        <v>1349</v>
      </c>
      <c r="F637" t="s">
        <v>1351</v>
      </c>
      <c r="G637" t="s">
        <v>1370</v>
      </c>
      <c r="H637" s="5">
        <v>5</v>
      </c>
      <c r="I637" s="9">
        <v>2999</v>
      </c>
      <c r="J637" s="9">
        <f t="shared" si="9"/>
        <v>14995</v>
      </c>
      <c r="K637" t="s">
        <v>1376</v>
      </c>
      <c r="L637" t="s">
        <v>1384</v>
      </c>
    </row>
    <row r="638" spans="1:12" x14ac:dyDescent="0.25">
      <c r="A638" s="3">
        <v>45564</v>
      </c>
      <c r="B638" t="s">
        <v>140</v>
      </c>
      <c r="C638" t="s">
        <v>1124</v>
      </c>
      <c r="D638" t="s">
        <v>1345</v>
      </c>
      <c r="E638" t="s">
        <v>1349</v>
      </c>
      <c r="F638" t="s">
        <v>1355</v>
      </c>
      <c r="G638" t="s">
        <v>1360</v>
      </c>
      <c r="H638" s="5">
        <v>16</v>
      </c>
      <c r="I638" s="9">
        <v>2499</v>
      </c>
      <c r="J638" s="9">
        <f t="shared" si="9"/>
        <v>39984</v>
      </c>
      <c r="K638" t="s">
        <v>1376</v>
      </c>
      <c r="L638" t="s">
        <v>1382</v>
      </c>
    </row>
    <row r="639" spans="1:12" x14ac:dyDescent="0.25">
      <c r="A639" s="3">
        <v>45452</v>
      </c>
      <c r="B639" t="s">
        <v>82</v>
      </c>
      <c r="C639" t="s">
        <v>1086</v>
      </c>
      <c r="D639" t="s">
        <v>1389</v>
      </c>
      <c r="E639" t="s">
        <v>1349</v>
      </c>
      <c r="F639" t="s">
        <v>1352</v>
      </c>
      <c r="G639" t="s">
        <v>1368</v>
      </c>
      <c r="H639" s="5">
        <v>4</v>
      </c>
      <c r="I639" s="9">
        <v>1624</v>
      </c>
      <c r="J639" s="9">
        <f t="shared" si="9"/>
        <v>6496</v>
      </c>
      <c r="K639" t="s">
        <v>1379</v>
      </c>
      <c r="L639" t="s">
        <v>1383</v>
      </c>
    </row>
    <row r="640" spans="1:12" x14ac:dyDescent="0.25">
      <c r="A640" s="3">
        <v>45454</v>
      </c>
      <c r="B640" t="s">
        <v>883</v>
      </c>
      <c r="C640" t="s">
        <v>1089</v>
      </c>
      <c r="D640" t="s">
        <v>1345</v>
      </c>
      <c r="E640" t="s">
        <v>1348</v>
      </c>
      <c r="F640" t="s">
        <v>1352</v>
      </c>
      <c r="G640" t="s">
        <v>1368</v>
      </c>
      <c r="H640" s="5">
        <v>39</v>
      </c>
      <c r="I640" s="9">
        <v>1624</v>
      </c>
      <c r="J640" s="9">
        <f t="shared" si="9"/>
        <v>63336</v>
      </c>
      <c r="K640" t="s">
        <v>1379</v>
      </c>
      <c r="L640" t="s">
        <v>1382</v>
      </c>
    </row>
    <row r="641" spans="1:12" x14ac:dyDescent="0.25">
      <c r="A641" s="3">
        <v>45310</v>
      </c>
      <c r="B641" t="s">
        <v>610</v>
      </c>
      <c r="C641" t="s">
        <v>1158</v>
      </c>
      <c r="D641" t="s">
        <v>1345</v>
      </c>
      <c r="E641" t="s">
        <v>1349</v>
      </c>
      <c r="F641" t="s">
        <v>1354</v>
      </c>
      <c r="G641" t="s">
        <v>1366</v>
      </c>
      <c r="H641" s="5">
        <v>25</v>
      </c>
      <c r="I641" s="9">
        <v>2499</v>
      </c>
      <c r="J641" s="9">
        <f t="shared" si="9"/>
        <v>62475</v>
      </c>
      <c r="K641" t="s">
        <v>1377</v>
      </c>
      <c r="L641" t="s">
        <v>1382</v>
      </c>
    </row>
    <row r="642" spans="1:12" x14ac:dyDescent="0.25">
      <c r="A642" s="3">
        <v>45462</v>
      </c>
      <c r="B642" t="s">
        <v>406</v>
      </c>
      <c r="C642" t="s">
        <v>1101</v>
      </c>
      <c r="D642" t="s">
        <v>1389</v>
      </c>
      <c r="E642" t="s">
        <v>1350</v>
      </c>
      <c r="F642" t="s">
        <v>1353</v>
      </c>
      <c r="G642" t="s">
        <v>1367</v>
      </c>
      <c r="H642" s="5">
        <v>34</v>
      </c>
      <c r="I642" s="9">
        <v>999</v>
      </c>
      <c r="J642" s="9">
        <f t="shared" ref="J642:J705" si="10">H642*I642</f>
        <v>33966</v>
      </c>
      <c r="K642" t="s">
        <v>1379</v>
      </c>
      <c r="L642" t="s">
        <v>1380</v>
      </c>
    </row>
    <row r="643" spans="1:12" x14ac:dyDescent="0.25">
      <c r="A643" s="3">
        <v>45508</v>
      </c>
      <c r="B643" t="s">
        <v>943</v>
      </c>
      <c r="C643" t="s">
        <v>1027</v>
      </c>
      <c r="D643" t="s">
        <v>1389</v>
      </c>
      <c r="E643" t="s">
        <v>1347</v>
      </c>
      <c r="F643" t="s">
        <v>1354</v>
      </c>
      <c r="G643" t="s">
        <v>1363</v>
      </c>
      <c r="H643" s="5">
        <v>36</v>
      </c>
      <c r="I643" s="9">
        <v>3499</v>
      </c>
      <c r="J643" s="9">
        <f t="shared" si="10"/>
        <v>125964</v>
      </c>
      <c r="K643" t="s">
        <v>1379</v>
      </c>
      <c r="L643" t="s">
        <v>1382</v>
      </c>
    </row>
    <row r="644" spans="1:12" x14ac:dyDescent="0.25">
      <c r="A644" s="3">
        <v>45492</v>
      </c>
      <c r="B644" t="s">
        <v>538</v>
      </c>
      <c r="C644" t="s">
        <v>1154</v>
      </c>
      <c r="D644" t="s">
        <v>1345</v>
      </c>
      <c r="E644" t="s">
        <v>1347</v>
      </c>
      <c r="F644" t="s">
        <v>1355</v>
      </c>
      <c r="G644" t="s">
        <v>1372</v>
      </c>
      <c r="H644" s="5">
        <v>25</v>
      </c>
      <c r="I644" s="9">
        <v>3499</v>
      </c>
      <c r="J644" s="9">
        <f t="shared" si="10"/>
        <v>87475</v>
      </c>
      <c r="K644" t="s">
        <v>1378</v>
      </c>
      <c r="L644" t="s">
        <v>1382</v>
      </c>
    </row>
    <row r="645" spans="1:12" x14ac:dyDescent="0.25">
      <c r="A645" s="3">
        <v>45380</v>
      </c>
      <c r="B645" t="s">
        <v>535</v>
      </c>
      <c r="C645" t="s">
        <v>1071</v>
      </c>
      <c r="D645" t="s">
        <v>1389</v>
      </c>
      <c r="E645" t="s">
        <v>1349</v>
      </c>
      <c r="F645" t="s">
        <v>1353</v>
      </c>
      <c r="G645" t="s">
        <v>1365</v>
      </c>
      <c r="H645" s="5">
        <v>48</v>
      </c>
      <c r="I645" s="9">
        <v>199</v>
      </c>
      <c r="J645" s="9">
        <f t="shared" si="10"/>
        <v>9552</v>
      </c>
      <c r="K645" t="s">
        <v>1376</v>
      </c>
      <c r="L645" t="s">
        <v>1380</v>
      </c>
    </row>
    <row r="646" spans="1:12" x14ac:dyDescent="0.25">
      <c r="A646" s="3">
        <v>45464</v>
      </c>
      <c r="B646" t="s">
        <v>976</v>
      </c>
      <c r="C646" t="s">
        <v>1187</v>
      </c>
      <c r="D646" t="s">
        <v>1344</v>
      </c>
      <c r="E646" t="s">
        <v>1348</v>
      </c>
      <c r="F646" t="s">
        <v>1351</v>
      </c>
      <c r="G646" t="s">
        <v>1371</v>
      </c>
      <c r="H646" s="5">
        <v>41</v>
      </c>
      <c r="I646" s="9">
        <v>3499</v>
      </c>
      <c r="J646" s="9">
        <f t="shared" si="10"/>
        <v>143459</v>
      </c>
      <c r="K646" t="s">
        <v>1377</v>
      </c>
      <c r="L646" t="s">
        <v>1384</v>
      </c>
    </row>
    <row r="647" spans="1:12" x14ac:dyDescent="0.25">
      <c r="A647" s="3">
        <v>45340</v>
      </c>
      <c r="B647" t="s">
        <v>367</v>
      </c>
      <c r="C647" t="s">
        <v>1227</v>
      </c>
      <c r="D647" t="s">
        <v>1344</v>
      </c>
      <c r="E647" t="s">
        <v>1347</v>
      </c>
      <c r="F647" t="s">
        <v>1352</v>
      </c>
      <c r="G647" t="s">
        <v>1364</v>
      </c>
      <c r="H647" s="5">
        <v>21</v>
      </c>
      <c r="I647" s="9">
        <v>999</v>
      </c>
      <c r="J647" s="9">
        <f t="shared" si="10"/>
        <v>20979</v>
      </c>
      <c r="K647" t="s">
        <v>1377</v>
      </c>
      <c r="L647" t="s">
        <v>1380</v>
      </c>
    </row>
    <row r="648" spans="1:12" x14ac:dyDescent="0.25">
      <c r="A648" s="3">
        <v>45422</v>
      </c>
      <c r="B648" t="s">
        <v>866</v>
      </c>
      <c r="C648" t="s">
        <v>1330</v>
      </c>
      <c r="D648" t="s">
        <v>1345</v>
      </c>
      <c r="E648" t="s">
        <v>1349</v>
      </c>
      <c r="F648" t="s">
        <v>1354</v>
      </c>
      <c r="G648" t="s">
        <v>1366</v>
      </c>
      <c r="H648" s="5">
        <v>3</v>
      </c>
      <c r="I648" s="9">
        <v>199</v>
      </c>
      <c r="J648" s="9">
        <f t="shared" si="10"/>
        <v>597</v>
      </c>
      <c r="K648" t="s">
        <v>1379</v>
      </c>
      <c r="L648" t="s">
        <v>1382</v>
      </c>
    </row>
    <row r="649" spans="1:12" x14ac:dyDescent="0.25">
      <c r="A649" s="3">
        <v>45591</v>
      </c>
      <c r="B649" t="s">
        <v>763</v>
      </c>
      <c r="C649" t="s">
        <v>1062</v>
      </c>
      <c r="D649" t="s">
        <v>1389</v>
      </c>
      <c r="E649" t="s">
        <v>1350</v>
      </c>
      <c r="F649" t="s">
        <v>1353</v>
      </c>
      <c r="G649" t="s">
        <v>1365</v>
      </c>
      <c r="H649" s="5">
        <v>5</v>
      </c>
      <c r="I649" s="9">
        <v>1499</v>
      </c>
      <c r="J649" s="9">
        <f t="shared" si="10"/>
        <v>7495</v>
      </c>
      <c r="K649" t="s">
        <v>1377</v>
      </c>
      <c r="L649" t="s">
        <v>1384</v>
      </c>
    </row>
    <row r="650" spans="1:12" x14ac:dyDescent="0.25">
      <c r="A650" s="3">
        <v>45619</v>
      </c>
      <c r="B650" t="s">
        <v>399</v>
      </c>
      <c r="C650" t="s">
        <v>1249</v>
      </c>
      <c r="D650" t="s">
        <v>1345</v>
      </c>
      <c r="E650" t="s">
        <v>1348</v>
      </c>
      <c r="F650" t="s">
        <v>1354</v>
      </c>
      <c r="G650" t="s">
        <v>1363</v>
      </c>
      <c r="H650" s="5">
        <v>32</v>
      </c>
      <c r="I650" s="9">
        <v>199</v>
      </c>
      <c r="J650" s="9">
        <f t="shared" si="10"/>
        <v>6368</v>
      </c>
      <c r="K650" t="s">
        <v>1377</v>
      </c>
      <c r="L650" t="s">
        <v>1384</v>
      </c>
    </row>
    <row r="651" spans="1:12" x14ac:dyDescent="0.25">
      <c r="A651" s="3">
        <v>45563</v>
      </c>
      <c r="B651" t="s">
        <v>183</v>
      </c>
      <c r="C651" t="s">
        <v>1148</v>
      </c>
      <c r="D651" t="s">
        <v>1389</v>
      </c>
      <c r="E651" t="s">
        <v>1347</v>
      </c>
      <c r="F651" t="s">
        <v>1351</v>
      </c>
      <c r="G651" t="s">
        <v>1371</v>
      </c>
      <c r="H651" s="5">
        <v>41</v>
      </c>
      <c r="I651" s="9">
        <v>199</v>
      </c>
      <c r="J651" s="9">
        <f t="shared" si="10"/>
        <v>8159</v>
      </c>
      <c r="K651" t="s">
        <v>1379</v>
      </c>
      <c r="L651" t="s">
        <v>1380</v>
      </c>
    </row>
    <row r="652" spans="1:12" x14ac:dyDescent="0.25">
      <c r="A652" s="3">
        <v>45585</v>
      </c>
      <c r="B652" t="s">
        <v>639</v>
      </c>
      <c r="C652" t="s">
        <v>1103</v>
      </c>
      <c r="D652" t="s">
        <v>1389</v>
      </c>
      <c r="E652" t="s">
        <v>1349</v>
      </c>
      <c r="F652" t="s">
        <v>1352</v>
      </c>
      <c r="G652" t="s">
        <v>1364</v>
      </c>
      <c r="H652" s="5">
        <v>13</v>
      </c>
      <c r="I652" s="9">
        <v>1624</v>
      </c>
      <c r="J652" s="9">
        <f t="shared" si="10"/>
        <v>21112</v>
      </c>
      <c r="K652" t="s">
        <v>1376</v>
      </c>
      <c r="L652" t="s">
        <v>1384</v>
      </c>
    </row>
    <row r="653" spans="1:12" x14ac:dyDescent="0.25">
      <c r="A653" s="3">
        <v>45634</v>
      </c>
      <c r="B653" t="s">
        <v>498</v>
      </c>
      <c r="C653" t="s">
        <v>1102</v>
      </c>
      <c r="D653" t="s">
        <v>1345</v>
      </c>
      <c r="E653" t="s">
        <v>1347</v>
      </c>
      <c r="F653" t="s">
        <v>1355</v>
      </c>
      <c r="G653" t="s">
        <v>1372</v>
      </c>
      <c r="H653" s="5">
        <v>43</v>
      </c>
      <c r="I653" s="9">
        <v>3499</v>
      </c>
      <c r="J653" s="9">
        <f t="shared" si="10"/>
        <v>150457</v>
      </c>
      <c r="K653" t="s">
        <v>1377</v>
      </c>
      <c r="L653" t="s">
        <v>1382</v>
      </c>
    </row>
    <row r="654" spans="1:12" x14ac:dyDescent="0.25">
      <c r="A654" s="3">
        <v>45597</v>
      </c>
      <c r="B654" t="s">
        <v>373</v>
      </c>
      <c r="C654" t="s">
        <v>1093</v>
      </c>
      <c r="D654" t="s">
        <v>1345</v>
      </c>
      <c r="E654" t="s">
        <v>1348</v>
      </c>
      <c r="F654" t="s">
        <v>1353</v>
      </c>
      <c r="G654" t="s">
        <v>1359</v>
      </c>
      <c r="H654" s="5">
        <v>9</v>
      </c>
      <c r="I654" s="9">
        <v>1499</v>
      </c>
      <c r="J654" s="9">
        <f t="shared" si="10"/>
        <v>13491</v>
      </c>
      <c r="K654" t="s">
        <v>1379</v>
      </c>
      <c r="L654" t="s">
        <v>1382</v>
      </c>
    </row>
    <row r="655" spans="1:12" x14ac:dyDescent="0.25">
      <c r="A655" s="3">
        <v>45300</v>
      </c>
      <c r="B655" t="s">
        <v>851</v>
      </c>
      <c r="C655" t="s">
        <v>1076</v>
      </c>
      <c r="D655" t="s">
        <v>1344</v>
      </c>
      <c r="E655" t="s">
        <v>1347</v>
      </c>
      <c r="F655" t="s">
        <v>1355</v>
      </c>
      <c r="G655" t="s">
        <v>1372</v>
      </c>
      <c r="H655" s="5">
        <v>36</v>
      </c>
      <c r="I655" s="9">
        <v>199</v>
      </c>
      <c r="J655" s="9">
        <f t="shared" si="10"/>
        <v>7164</v>
      </c>
      <c r="K655" t="s">
        <v>1379</v>
      </c>
      <c r="L655" t="s">
        <v>1383</v>
      </c>
    </row>
    <row r="656" spans="1:12" x14ac:dyDescent="0.25">
      <c r="A656" s="3">
        <v>45577</v>
      </c>
      <c r="B656" t="s">
        <v>350</v>
      </c>
      <c r="C656" t="s">
        <v>1082</v>
      </c>
      <c r="D656" t="s">
        <v>1389</v>
      </c>
      <c r="E656" t="s">
        <v>1346</v>
      </c>
      <c r="F656" t="s">
        <v>1353</v>
      </c>
      <c r="G656" t="s">
        <v>1359</v>
      </c>
      <c r="H656" s="5">
        <v>46</v>
      </c>
      <c r="I656" s="9">
        <v>1999</v>
      </c>
      <c r="J656" s="9">
        <f t="shared" si="10"/>
        <v>91954</v>
      </c>
      <c r="K656" t="s">
        <v>1376</v>
      </c>
      <c r="L656" t="s">
        <v>1383</v>
      </c>
    </row>
    <row r="657" spans="1:12" x14ac:dyDescent="0.25">
      <c r="A657" s="3">
        <v>45546</v>
      </c>
      <c r="B657" t="s">
        <v>833</v>
      </c>
      <c r="C657" t="s">
        <v>1047</v>
      </c>
      <c r="D657" t="s">
        <v>1389</v>
      </c>
      <c r="E657" t="s">
        <v>1347</v>
      </c>
      <c r="F657" t="s">
        <v>1355</v>
      </c>
      <c r="G657" t="s">
        <v>1360</v>
      </c>
      <c r="H657" s="5">
        <v>23</v>
      </c>
      <c r="I657" s="9">
        <v>499</v>
      </c>
      <c r="J657" s="9">
        <f t="shared" si="10"/>
        <v>11477</v>
      </c>
      <c r="K657" t="s">
        <v>1379</v>
      </c>
      <c r="L657" t="s">
        <v>1381</v>
      </c>
    </row>
    <row r="658" spans="1:12" x14ac:dyDescent="0.25">
      <c r="A658" s="3">
        <v>45499</v>
      </c>
      <c r="B658" t="s">
        <v>759</v>
      </c>
      <c r="C658" t="s">
        <v>1054</v>
      </c>
      <c r="D658" t="s">
        <v>1344</v>
      </c>
      <c r="E658" t="s">
        <v>1347</v>
      </c>
      <c r="F658" t="s">
        <v>1351</v>
      </c>
      <c r="G658" t="s">
        <v>1371</v>
      </c>
      <c r="H658" s="5">
        <v>37</v>
      </c>
      <c r="I658" s="9">
        <v>499</v>
      </c>
      <c r="J658" s="9">
        <f t="shared" si="10"/>
        <v>18463</v>
      </c>
      <c r="K658" t="s">
        <v>1379</v>
      </c>
      <c r="L658" t="s">
        <v>1384</v>
      </c>
    </row>
    <row r="659" spans="1:12" x14ac:dyDescent="0.25">
      <c r="A659" s="3">
        <v>45621</v>
      </c>
      <c r="B659" t="s">
        <v>431</v>
      </c>
      <c r="C659" t="s">
        <v>1178</v>
      </c>
      <c r="D659" t="s">
        <v>1345</v>
      </c>
      <c r="E659" t="s">
        <v>1349</v>
      </c>
      <c r="F659" t="s">
        <v>1353</v>
      </c>
      <c r="G659" t="s">
        <v>1367</v>
      </c>
      <c r="H659" s="5">
        <v>19</v>
      </c>
      <c r="I659" s="9">
        <v>2499</v>
      </c>
      <c r="J659" s="9">
        <f t="shared" si="10"/>
        <v>47481</v>
      </c>
      <c r="K659" t="s">
        <v>1377</v>
      </c>
      <c r="L659" t="s">
        <v>1383</v>
      </c>
    </row>
    <row r="660" spans="1:12" x14ac:dyDescent="0.25">
      <c r="A660" s="3">
        <v>45628</v>
      </c>
      <c r="B660" t="s">
        <v>485</v>
      </c>
      <c r="C660" t="s">
        <v>1282</v>
      </c>
      <c r="D660" t="s">
        <v>1345</v>
      </c>
      <c r="E660" t="s">
        <v>1347</v>
      </c>
      <c r="F660" t="s">
        <v>1351</v>
      </c>
      <c r="G660" t="s">
        <v>1371</v>
      </c>
      <c r="H660" s="5">
        <v>43</v>
      </c>
      <c r="I660" s="9">
        <v>999</v>
      </c>
      <c r="J660" s="9">
        <f t="shared" si="10"/>
        <v>42957</v>
      </c>
      <c r="K660" t="s">
        <v>1378</v>
      </c>
      <c r="L660" t="s">
        <v>1382</v>
      </c>
    </row>
    <row r="661" spans="1:12" x14ac:dyDescent="0.25">
      <c r="A661" s="3">
        <v>45506</v>
      </c>
      <c r="B661" t="s">
        <v>520</v>
      </c>
      <c r="C661" t="s">
        <v>1288</v>
      </c>
      <c r="D661" t="s">
        <v>1344</v>
      </c>
      <c r="E661" t="s">
        <v>1346</v>
      </c>
      <c r="F661" t="s">
        <v>1355</v>
      </c>
      <c r="G661" t="s">
        <v>1372</v>
      </c>
      <c r="H661" s="5">
        <v>38</v>
      </c>
      <c r="I661" s="9">
        <v>3499</v>
      </c>
      <c r="J661" s="9">
        <f t="shared" si="10"/>
        <v>132962</v>
      </c>
      <c r="K661" t="s">
        <v>1376</v>
      </c>
      <c r="L661" t="s">
        <v>1382</v>
      </c>
    </row>
    <row r="662" spans="1:12" x14ac:dyDescent="0.25">
      <c r="A662" s="3">
        <v>45568</v>
      </c>
      <c r="B662" t="s">
        <v>607</v>
      </c>
      <c r="C662" t="s">
        <v>1214</v>
      </c>
      <c r="D662" t="s">
        <v>1389</v>
      </c>
      <c r="E662" t="s">
        <v>1349</v>
      </c>
      <c r="F662" t="s">
        <v>1352</v>
      </c>
      <c r="G662" t="s">
        <v>1358</v>
      </c>
      <c r="H662" s="5">
        <v>13</v>
      </c>
      <c r="I662" s="9">
        <v>2499</v>
      </c>
      <c r="J662" s="9">
        <f t="shared" si="10"/>
        <v>32487</v>
      </c>
      <c r="K662" t="s">
        <v>1377</v>
      </c>
      <c r="L662" t="s">
        <v>1384</v>
      </c>
    </row>
    <row r="663" spans="1:12" x14ac:dyDescent="0.25">
      <c r="A663" s="3">
        <v>45520</v>
      </c>
      <c r="B663" t="s">
        <v>42</v>
      </c>
      <c r="C663" t="s">
        <v>1052</v>
      </c>
      <c r="D663" t="s">
        <v>1344</v>
      </c>
      <c r="E663" t="s">
        <v>1349</v>
      </c>
      <c r="F663" t="s">
        <v>1351</v>
      </c>
      <c r="G663" t="s">
        <v>1357</v>
      </c>
      <c r="H663" s="5">
        <v>22</v>
      </c>
      <c r="I663" s="9">
        <v>2499</v>
      </c>
      <c r="J663" s="9">
        <f t="shared" si="10"/>
        <v>54978</v>
      </c>
      <c r="K663" t="s">
        <v>1377</v>
      </c>
      <c r="L663" t="s">
        <v>1382</v>
      </c>
    </row>
    <row r="664" spans="1:12" x14ac:dyDescent="0.25">
      <c r="A664" s="3">
        <v>45637</v>
      </c>
      <c r="B664" t="s">
        <v>539</v>
      </c>
      <c r="C664" t="s">
        <v>1061</v>
      </c>
      <c r="D664" t="s">
        <v>1345</v>
      </c>
      <c r="E664" t="s">
        <v>1349</v>
      </c>
      <c r="F664" t="s">
        <v>1355</v>
      </c>
      <c r="G664" t="s">
        <v>1372</v>
      </c>
      <c r="H664" s="5">
        <v>1</v>
      </c>
      <c r="I664" s="9">
        <v>1999</v>
      </c>
      <c r="J664" s="9">
        <f t="shared" si="10"/>
        <v>1999</v>
      </c>
      <c r="K664" t="s">
        <v>1377</v>
      </c>
      <c r="L664" t="s">
        <v>1380</v>
      </c>
    </row>
    <row r="665" spans="1:12" x14ac:dyDescent="0.25">
      <c r="A665" s="3">
        <v>45478</v>
      </c>
      <c r="B665" t="s">
        <v>173</v>
      </c>
      <c r="C665" t="s">
        <v>1129</v>
      </c>
      <c r="D665" t="s">
        <v>1344</v>
      </c>
      <c r="E665" t="s">
        <v>1346</v>
      </c>
      <c r="F665" t="s">
        <v>1354</v>
      </c>
      <c r="G665" t="s">
        <v>1362</v>
      </c>
      <c r="H665" s="5">
        <v>22</v>
      </c>
      <c r="I665" s="9">
        <v>1749</v>
      </c>
      <c r="J665" s="9">
        <f t="shared" si="10"/>
        <v>38478</v>
      </c>
      <c r="K665" t="s">
        <v>1379</v>
      </c>
      <c r="L665" t="s">
        <v>1380</v>
      </c>
    </row>
    <row r="666" spans="1:12" x14ac:dyDescent="0.25">
      <c r="A666" s="3">
        <v>45477</v>
      </c>
      <c r="B666" t="s">
        <v>863</v>
      </c>
      <c r="C666" t="s">
        <v>1028</v>
      </c>
      <c r="D666" t="s">
        <v>1345</v>
      </c>
      <c r="E666" t="s">
        <v>1349</v>
      </c>
      <c r="F666" t="s">
        <v>1353</v>
      </c>
      <c r="G666" t="s">
        <v>1369</v>
      </c>
      <c r="H666" s="5">
        <v>5</v>
      </c>
      <c r="I666" s="9">
        <v>2999</v>
      </c>
      <c r="J666" s="9">
        <f t="shared" si="10"/>
        <v>14995</v>
      </c>
      <c r="K666" t="s">
        <v>1377</v>
      </c>
      <c r="L666" t="s">
        <v>1380</v>
      </c>
    </row>
    <row r="667" spans="1:12" x14ac:dyDescent="0.25">
      <c r="A667" s="3">
        <v>45439</v>
      </c>
      <c r="B667" t="s">
        <v>954</v>
      </c>
      <c r="C667" t="s">
        <v>1194</v>
      </c>
      <c r="D667" t="s">
        <v>1344</v>
      </c>
      <c r="E667" t="s">
        <v>1346</v>
      </c>
      <c r="F667" t="s">
        <v>1351</v>
      </c>
      <c r="G667" t="s">
        <v>1371</v>
      </c>
      <c r="H667" s="5">
        <v>1</v>
      </c>
      <c r="I667" s="9">
        <v>2499</v>
      </c>
      <c r="J667" s="9">
        <f t="shared" si="10"/>
        <v>2499</v>
      </c>
      <c r="K667" t="s">
        <v>1379</v>
      </c>
      <c r="L667" t="s">
        <v>1384</v>
      </c>
    </row>
    <row r="668" spans="1:12" x14ac:dyDescent="0.25">
      <c r="A668" s="3">
        <v>45564</v>
      </c>
      <c r="B668" t="s">
        <v>208</v>
      </c>
      <c r="C668" t="s">
        <v>1037</v>
      </c>
      <c r="D668" t="s">
        <v>1345</v>
      </c>
      <c r="E668" t="s">
        <v>1349</v>
      </c>
      <c r="F668" t="s">
        <v>1351</v>
      </c>
      <c r="G668" t="s">
        <v>1370</v>
      </c>
      <c r="H668" s="5">
        <v>24</v>
      </c>
      <c r="I668" s="9">
        <v>2999</v>
      </c>
      <c r="J668" s="9">
        <f t="shared" si="10"/>
        <v>71976</v>
      </c>
      <c r="K668" t="s">
        <v>1379</v>
      </c>
      <c r="L668" t="s">
        <v>1382</v>
      </c>
    </row>
    <row r="669" spans="1:12" x14ac:dyDescent="0.25">
      <c r="A669" s="3">
        <v>45650</v>
      </c>
      <c r="B669" t="s">
        <v>821</v>
      </c>
      <c r="C669" t="s">
        <v>1315</v>
      </c>
      <c r="D669" t="s">
        <v>1344</v>
      </c>
      <c r="E669" t="s">
        <v>1347</v>
      </c>
      <c r="F669" t="s">
        <v>1353</v>
      </c>
      <c r="G669" t="s">
        <v>1367</v>
      </c>
      <c r="H669" s="5">
        <v>0</v>
      </c>
      <c r="I669" s="9">
        <v>199</v>
      </c>
      <c r="J669" s="9">
        <f t="shared" si="10"/>
        <v>0</v>
      </c>
      <c r="K669" t="s">
        <v>1379</v>
      </c>
      <c r="L669" t="s">
        <v>1381</v>
      </c>
    </row>
    <row r="670" spans="1:12" x14ac:dyDescent="0.25">
      <c r="A670" s="3">
        <v>45358</v>
      </c>
      <c r="B670" t="s">
        <v>121</v>
      </c>
      <c r="C670" t="s">
        <v>1056</v>
      </c>
      <c r="D670" t="s">
        <v>1345</v>
      </c>
      <c r="E670" t="s">
        <v>1349</v>
      </c>
      <c r="F670" t="s">
        <v>1351</v>
      </c>
      <c r="G670" t="s">
        <v>1356</v>
      </c>
      <c r="H670" s="5">
        <v>0</v>
      </c>
      <c r="I670" s="9">
        <v>3499</v>
      </c>
      <c r="J670" s="9">
        <f t="shared" si="10"/>
        <v>0</v>
      </c>
      <c r="K670" t="s">
        <v>1379</v>
      </c>
      <c r="L670" t="s">
        <v>1381</v>
      </c>
    </row>
    <row r="671" spans="1:12" x14ac:dyDescent="0.25">
      <c r="A671" s="3">
        <v>45504</v>
      </c>
      <c r="B671" t="s">
        <v>38</v>
      </c>
      <c r="C671" t="s">
        <v>1048</v>
      </c>
      <c r="D671" t="s">
        <v>1389</v>
      </c>
      <c r="E671" t="s">
        <v>1349</v>
      </c>
      <c r="F671" t="s">
        <v>1352</v>
      </c>
      <c r="G671" t="s">
        <v>1368</v>
      </c>
      <c r="H671" s="5">
        <v>28</v>
      </c>
      <c r="I671" s="9">
        <v>1999</v>
      </c>
      <c r="J671" s="9">
        <f t="shared" si="10"/>
        <v>55972</v>
      </c>
      <c r="K671" t="s">
        <v>1379</v>
      </c>
      <c r="L671" t="s">
        <v>1381</v>
      </c>
    </row>
    <row r="672" spans="1:12" x14ac:dyDescent="0.25">
      <c r="A672" s="3">
        <v>45564</v>
      </c>
      <c r="B672" t="s">
        <v>616</v>
      </c>
      <c r="C672" t="s">
        <v>1123</v>
      </c>
      <c r="D672" t="s">
        <v>1345</v>
      </c>
      <c r="E672" t="s">
        <v>1349</v>
      </c>
      <c r="F672" t="s">
        <v>1355</v>
      </c>
      <c r="G672" t="s">
        <v>1360</v>
      </c>
      <c r="H672" s="5">
        <v>13</v>
      </c>
      <c r="I672" s="9">
        <v>1838</v>
      </c>
      <c r="J672" s="9">
        <f t="shared" si="10"/>
        <v>23894</v>
      </c>
      <c r="K672" t="s">
        <v>1376</v>
      </c>
      <c r="L672" t="s">
        <v>1381</v>
      </c>
    </row>
    <row r="673" spans="1:12" x14ac:dyDescent="0.25">
      <c r="A673" s="3">
        <v>45431</v>
      </c>
      <c r="B673" t="s">
        <v>676</v>
      </c>
      <c r="C673" t="s">
        <v>1090</v>
      </c>
      <c r="D673" t="s">
        <v>1344</v>
      </c>
      <c r="E673" t="s">
        <v>1347</v>
      </c>
      <c r="F673" t="s">
        <v>1355</v>
      </c>
      <c r="G673" t="s">
        <v>1360</v>
      </c>
      <c r="H673" s="5">
        <v>2</v>
      </c>
      <c r="I673" s="9">
        <v>2499</v>
      </c>
      <c r="J673" s="9">
        <f t="shared" si="10"/>
        <v>4998</v>
      </c>
      <c r="K673" t="s">
        <v>1376</v>
      </c>
      <c r="L673" t="s">
        <v>1384</v>
      </c>
    </row>
    <row r="674" spans="1:12" x14ac:dyDescent="0.25">
      <c r="A674" s="3">
        <v>45599</v>
      </c>
      <c r="B674" t="s">
        <v>584</v>
      </c>
      <c r="C674" t="s">
        <v>1301</v>
      </c>
      <c r="D674" t="s">
        <v>1344</v>
      </c>
      <c r="E674" t="s">
        <v>1347</v>
      </c>
      <c r="F674" t="s">
        <v>1352</v>
      </c>
      <c r="G674" t="s">
        <v>1375</v>
      </c>
      <c r="H674" s="5">
        <v>16</v>
      </c>
      <c r="I674" s="9">
        <v>1499</v>
      </c>
      <c r="J674" s="9">
        <f t="shared" si="10"/>
        <v>23984</v>
      </c>
      <c r="K674" t="s">
        <v>1379</v>
      </c>
      <c r="L674" t="s">
        <v>1383</v>
      </c>
    </row>
    <row r="675" spans="1:12" x14ac:dyDescent="0.25">
      <c r="A675" s="3">
        <v>45543</v>
      </c>
      <c r="B675" t="s">
        <v>309</v>
      </c>
      <c r="C675" t="s">
        <v>1211</v>
      </c>
      <c r="D675" t="s">
        <v>1345</v>
      </c>
      <c r="E675" t="s">
        <v>1348</v>
      </c>
      <c r="F675" t="s">
        <v>1352</v>
      </c>
      <c r="G675" t="s">
        <v>1375</v>
      </c>
      <c r="H675" s="5">
        <v>6</v>
      </c>
      <c r="I675" s="9">
        <v>1999</v>
      </c>
      <c r="J675" s="9">
        <f t="shared" si="10"/>
        <v>11994</v>
      </c>
      <c r="K675" t="s">
        <v>1377</v>
      </c>
      <c r="L675" t="s">
        <v>1380</v>
      </c>
    </row>
    <row r="676" spans="1:12" x14ac:dyDescent="0.25">
      <c r="A676" s="3">
        <v>45516</v>
      </c>
      <c r="B676" t="s">
        <v>637</v>
      </c>
      <c r="C676" t="s">
        <v>1309</v>
      </c>
      <c r="D676" t="s">
        <v>1344</v>
      </c>
      <c r="E676" t="s">
        <v>1348</v>
      </c>
      <c r="F676" t="s">
        <v>1351</v>
      </c>
      <c r="G676" t="s">
        <v>1356</v>
      </c>
      <c r="H676" s="5">
        <v>6</v>
      </c>
      <c r="I676" s="9">
        <v>1499</v>
      </c>
      <c r="J676" s="9">
        <f t="shared" si="10"/>
        <v>8994</v>
      </c>
      <c r="K676" t="s">
        <v>1377</v>
      </c>
      <c r="L676" t="s">
        <v>1382</v>
      </c>
    </row>
    <row r="677" spans="1:12" x14ac:dyDescent="0.25">
      <c r="A677" s="3">
        <v>45445</v>
      </c>
      <c r="B677" t="s">
        <v>48</v>
      </c>
      <c r="C677" t="s">
        <v>1058</v>
      </c>
      <c r="D677" t="s">
        <v>1344</v>
      </c>
      <c r="E677" t="s">
        <v>1348</v>
      </c>
      <c r="F677" t="s">
        <v>1355</v>
      </c>
      <c r="G677" t="s">
        <v>1374</v>
      </c>
      <c r="H677" s="5">
        <v>41</v>
      </c>
      <c r="I677" s="9">
        <v>1999</v>
      </c>
      <c r="J677" s="9">
        <f t="shared" si="10"/>
        <v>81959</v>
      </c>
      <c r="K677" t="s">
        <v>1379</v>
      </c>
      <c r="L677" t="s">
        <v>1380</v>
      </c>
    </row>
    <row r="678" spans="1:12" x14ac:dyDescent="0.25">
      <c r="A678" s="3">
        <v>45575</v>
      </c>
      <c r="B678" t="s">
        <v>832</v>
      </c>
      <c r="C678" t="s">
        <v>1088</v>
      </c>
      <c r="D678" t="s">
        <v>1389</v>
      </c>
      <c r="E678" t="s">
        <v>1346</v>
      </c>
      <c r="F678" t="s">
        <v>1354</v>
      </c>
      <c r="G678" t="s">
        <v>1362</v>
      </c>
      <c r="H678" s="5">
        <v>37</v>
      </c>
      <c r="I678" s="9">
        <v>199</v>
      </c>
      <c r="J678" s="9">
        <f t="shared" si="10"/>
        <v>7363</v>
      </c>
      <c r="K678" t="s">
        <v>1378</v>
      </c>
      <c r="L678" t="s">
        <v>1384</v>
      </c>
    </row>
    <row r="679" spans="1:12" x14ac:dyDescent="0.25">
      <c r="A679" s="3">
        <v>45443</v>
      </c>
      <c r="B679" t="s">
        <v>910</v>
      </c>
      <c r="C679" t="s">
        <v>1337</v>
      </c>
      <c r="D679" t="s">
        <v>1345</v>
      </c>
      <c r="E679" t="s">
        <v>1346</v>
      </c>
      <c r="F679" t="s">
        <v>1353</v>
      </c>
      <c r="G679" t="s">
        <v>1369</v>
      </c>
      <c r="H679" s="5">
        <v>37</v>
      </c>
      <c r="I679" s="9">
        <v>2999</v>
      </c>
      <c r="J679" s="9">
        <f t="shared" si="10"/>
        <v>110963</v>
      </c>
      <c r="K679" t="s">
        <v>1379</v>
      </c>
      <c r="L679" t="s">
        <v>1380</v>
      </c>
    </row>
    <row r="680" spans="1:12" x14ac:dyDescent="0.25">
      <c r="A680" s="3">
        <v>45594</v>
      </c>
      <c r="B680" t="s">
        <v>382</v>
      </c>
      <c r="C680" t="s">
        <v>1213</v>
      </c>
      <c r="D680" t="s">
        <v>1344</v>
      </c>
      <c r="E680" t="s">
        <v>1350</v>
      </c>
      <c r="F680" t="s">
        <v>1355</v>
      </c>
      <c r="G680" t="s">
        <v>1374</v>
      </c>
      <c r="H680" s="5">
        <v>3</v>
      </c>
      <c r="I680" s="9">
        <v>499</v>
      </c>
      <c r="J680" s="9">
        <f t="shared" si="10"/>
        <v>1497</v>
      </c>
      <c r="K680" t="s">
        <v>1376</v>
      </c>
      <c r="L680" t="s">
        <v>1380</v>
      </c>
    </row>
    <row r="681" spans="1:12" x14ac:dyDescent="0.25">
      <c r="A681" s="3">
        <v>45615</v>
      </c>
      <c r="B681" t="s">
        <v>578</v>
      </c>
      <c r="C681" t="s">
        <v>1298</v>
      </c>
      <c r="D681" t="s">
        <v>1389</v>
      </c>
      <c r="E681" t="s">
        <v>1347</v>
      </c>
      <c r="F681" t="s">
        <v>1354</v>
      </c>
      <c r="G681" t="s">
        <v>1361</v>
      </c>
      <c r="H681" s="5">
        <v>2</v>
      </c>
      <c r="I681" s="9">
        <v>199</v>
      </c>
      <c r="J681" s="9">
        <f t="shared" si="10"/>
        <v>398</v>
      </c>
      <c r="K681" t="s">
        <v>1377</v>
      </c>
      <c r="L681" t="s">
        <v>1384</v>
      </c>
    </row>
    <row r="682" spans="1:12" x14ac:dyDescent="0.25">
      <c r="A682" s="3">
        <v>45296</v>
      </c>
      <c r="B682" t="s">
        <v>757</v>
      </c>
      <c r="C682" t="s">
        <v>1182</v>
      </c>
      <c r="D682" t="s">
        <v>1345</v>
      </c>
      <c r="E682" t="s">
        <v>1348</v>
      </c>
      <c r="F682" t="s">
        <v>1352</v>
      </c>
      <c r="G682" t="s">
        <v>1368</v>
      </c>
      <c r="H682" s="5">
        <v>23</v>
      </c>
      <c r="I682" s="9">
        <v>499</v>
      </c>
      <c r="J682" s="9">
        <f t="shared" si="10"/>
        <v>11477</v>
      </c>
      <c r="K682" t="s">
        <v>1378</v>
      </c>
      <c r="L682" t="s">
        <v>1384</v>
      </c>
    </row>
    <row r="683" spans="1:12" x14ac:dyDescent="0.25">
      <c r="A683" s="3">
        <v>45297</v>
      </c>
      <c r="B683" t="s">
        <v>290</v>
      </c>
      <c r="C683" t="s">
        <v>1205</v>
      </c>
      <c r="D683" t="s">
        <v>1345</v>
      </c>
      <c r="E683" t="s">
        <v>1349</v>
      </c>
      <c r="F683" t="s">
        <v>1353</v>
      </c>
      <c r="G683" t="s">
        <v>1369</v>
      </c>
      <c r="H683" s="5">
        <v>10</v>
      </c>
      <c r="I683" s="9">
        <v>3499</v>
      </c>
      <c r="J683" s="9">
        <f t="shared" si="10"/>
        <v>34990</v>
      </c>
      <c r="K683" t="s">
        <v>1379</v>
      </c>
      <c r="L683" t="s">
        <v>1382</v>
      </c>
    </row>
    <row r="684" spans="1:12" x14ac:dyDescent="0.25">
      <c r="A684" s="3">
        <v>45547</v>
      </c>
      <c r="B684" t="s">
        <v>360</v>
      </c>
      <c r="C684" t="s">
        <v>1220</v>
      </c>
      <c r="D684" t="s">
        <v>1345</v>
      </c>
      <c r="E684" t="s">
        <v>1346</v>
      </c>
      <c r="F684" t="s">
        <v>1354</v>
      </c>
      <c r="G684" t="s">
        <v>1361</v>
      </c>
      <c r="H684" s="5">
        <v>12</v>
      </c>
      <c r="I684" s="9">
        <v>2499</v>
      </c>
      <c r="J684" s="9">
        <f t="shared" si="10"/>
        <v>29988</v>
      </c>
      <c r="K684" t="s">
        <v>1377</v>
      </c>
      <c r="L684" t="s">
        <v>1383</v>
      </c>
    </row>
    <row r="685" spans="1:12" x14ac:dyDescent="0.25">
      <c r="A685" s="3">
        <v>45649</v>
      </c>
      <c r="B685" t="s">
        <v>547</v>
      </c>
      <c r="C685" t="s">
        <v>1031</v>
      </c>
      <c r="D685" t="s">
        <v>1344</v>
      </c>
      <c r="E685" t="s">
        <v>1347</v>
      </c>
      <c r="F685" t="s">
        <v>1351</v>
      </c>
      <c r="G685" t="s">
        <v>1371</v>
      </c>
      <c r="H685" s="5">
        <v>3</v>
      </c>
      <c r="I685" s="9">
        <v>1999</v>
      </c>
      <c r="J685" s="9">
        <f t="shared" si="10"/>
        <v>5997</v>
      </c>
      <c r="K685" t="s">
        <v>1379</v>
      </c>
      <c r="L685" t="s">
        <v>1384</v>
      </c>
    </row>
    <row r="686" spans="1:12" x14ac:dyDescent="0.25">
      <c r="A686" s="3">
        <v>45619</v>
      </c>
      <c r="B686" t="s">
        <v>508</v>
      </c>
      <c r="C686" t="s">
        <v>1201</v>
      </c>
      <c r="D686" t="s">
        <v>1344</v>
      </c>
      <c r="E686" t="s">
        <v>1347</v>
      </c>
      <c r="F686" t="s">
        <v>1353</v>
      </c>
      <c r="G686" t="s">
        <v>1367</v>
      </c>
      <c r="H686" s="5">
        <v>39</v>
      </c>
      <c r="I686" s="9">
        <v>2999</v>
      </c>
      <c r="J686" s="9">
        <f t="shared" si="10"/>
        <v>116961</v>
      </c>
      <c r="K686" t="s">
        <v>1378</v>
      </c>
      <c r="L686" t="s">
        <v>1380</v>
      </c>
    </row>
    <row r="687" spans="1:12" x14ac:dyDescent="0.25">
      <c r="A687" s="3">
        <v>45345</v>
      </c>
      <c r="B687" t="s">
        <v>640</v>
      </c>
      <c r="C687" t="s">
        <v>1253</v>
      </c>
      <c r="D687" t="s">
        <v>1389</v>
      </c>
      <c r="E687" t="s">
        <v>1349</v>
      </c>
      <c r="F687" t="s">
        <v>1354</v>
      </c>
      <c r="G687" t="s">
        <v>1361</v>
      </c>
      <c r="H687" s="5">
        <v>15</v>
      </c>
      <c r="I687" s="9">
        <v>499</v>
      </c>
      <c r="J687" s="9">
        <f t="shared" si="10"/>
        <v>7485</v>
      </c>
      <c r="K687" t="s">
        <v>1377</v>
      </c>
      <c r="L687" t="s">
        <v>1382</v>
      </c>
    </row>
    <row r="688" spans="1:12" x14ac:dyDescent="0.25">
      <c r="A688" s="3">
        <v>45463</v>
      </c>
      <c r="B688" t="s">
        <v>930</v>
      </c>
      <c r="C688" t="s">
        <v>1202</v>
      </c>
      <c r="D688" t="s">
        <v>1345</v>
      </c>
      <c r="E688" t="s">
        <v>1346</v>
      </c>
      <c r="F688" t="s">
        <v>1353</v>
      </c>
      <c r="G688" t="s">
        <v>1365</v>
      </c>
      <c r="H688" s="5">
        <v>30</v>
      </c>
      <c r="I688" s="9">
        <v>999</v>
      </c>
      <c r="J688" s="9">
        <f t="shared" si="10"/>
        <v>29970</v>
      </c>
      <c r="K688" t="s">
        <v>1379</v>
      </c>
      <c r="L688" t="s">
        <v>1382</v>
      </c>
    </row>
    <row r="689" spans="1:12" x14ac:dyDescent="0.25">
      <c r="A689" s="3">
        <v>45581</v>
      </c>
      <c r="B689" t="s">
        <v>343</v>
      </c>
      <c r="C689" t="s">
        <v>1226</v>
      </c>
      <c r="D689" t="s">
        <v>1344</v>
      </c>
      <c r="E689" t="s">
        <v>1349</v>
      </c>
      <c r="F689" t="s">
        <v>1353</v>
      </c>
      <c r="G689" t="s">
        <v>1367</v>
      </c>
      <c r="H689" s="5">
        <v>17</v>
      </c>
      <c r="I689" s="9">
        <v>999</v>
      </c>
      <c r="J689" s="9">
        <f t="shared" si="10"/>
        <v>16983</v>
      </c>
      <c r="K689" t="s">
        <v>1377</v>
      </c>
      <c r="L689" t="s">
        <v>1380</v>
      </c>
    </row>
    <row r="690" spans="1:12" x14ac:dyDescent="0.25">
      <c r="A690" s="3">
        <v>45329</v>
      </c>
      <c r="B690" t="s">
        <v>200</v>
      </c>
      <c r="C690" t="s">
        <v>1119</v>
      </c>
      <c r="D690" t="s">
        <v>1389</v>
      </c>
      <c r="E690" t="s">
        <v>1347</v>
      </c>
      <c r="F690" t="s">
        <v>1351</v>
      </c>
      <c r="G690" t="s">
        <v>1357</v>
      </c>
      <c r="H690" s="5">
        <v>8</v>
      </c>
      <c r="I690" s="9">
        <v>3499</v>
      </c>
      <c r="J690" s="9">
        <f t="shared" si="10"/>
        <v>27992</v>
      </c>
      <c r="K690" t="s">
        <v>1379</v>
      </c>
      <c r="L690" t="s">
        <v>1384</v>
      </c>
    </row>
    <row r="691" spans="1:12" x14ac:dyDescent="0.25">
      <c r="A691" s="3">
        <v>45574</v>
      </c>
      <c r="B691" t="s">
        <v>614</v>
      </c>
      <c r="C691" t="s">
        <v>1143</v>
      </c>
      <c r="D691" t="s">
        <v>1345</v>
      </c>
      <c r="E691" t="s">
        <v>1349</v>
      </c>
      <c r="F691" t="s">
        <v>1352</v>
      </c>
      <c r="G691" t="s">
        <v>1368</v>
      </c>
      <c r="H691" s="5">
        <v>9</v>
      </c>
      <c r="I691" s="9">
        <v>999</v>
      </c>
      <c r="J691" s="9">
        <f t="shared" si="10"/>
        <v>8991</v>
      </c>
      <c r="K691" t="s">
        <v>1379</v>
      </c>
      <c r="L691" t="s">
        <v>1382</v>
      </c>
    </row>
    <row r="692" spans="1:12" x14ac:dyDescent="0.25">
      <c r="A692" s="3">
        <v>45518</v>
      </c>
      <c r="B692" t="s">
        <v>70</v>
      </c>
      <c r="C692" t="s">
        <v>1075</v>
      </c>
      <c r="D692" t="s">
        <v>1344</v>
      </c>
      <c r="E692" t="s">
        <v>1349</v>
      </c>
      <c r="F692" t="s">
        <v>1353</v>
      </c>
      <c r="G692" t="s">
        <v>1367</v>
      </c>
      <c r="H692" s="5">
        <v>3</v>
      </c>
      <c r="I692" s="9">
        <v>1845</v>
      </c>
      <c r="J692" s="9">
        <f t="shared" si="10"/>
        <v>5535</v>
      </c>
      <c r="K692" t="s">
        <v>1376</v>
      </c>
      <c r="L692" t="s">
        <v>1384</v>
      </c>
    </row>
    <row r="693" spans="1:12" x14ac:dyDescent="0.25">
      <c r="A693" s="3">
        <v>45369</v>
      </c>
      <c r="B693" t="s">
        <v>339</v>
      </c>
      <c r="C693" t="s">
        <v>1025</v>
      </c>
      <c r="D693" t="s">
        <v>1344</v>
      </c>
      <c r="E693" t="s">
        <v>1346</v>
      </c>
      <c r="F693" t="s">
        <v>1353</v>
      </c>
      <c r="G693" t="s">
        <v>1369</v>
      </c>
      <c r="H693" s="5">
        <v>19</v>
      </c>
      <c r="I693" s="9">
        <v>2499</v>
      </c>
      <c r="J693" s="9">
        <f t="shared" si="10"/>
        <v>47481</v>
      </c>
      <c r="K693" t="s">
        <v>1379</v>
      </c>
      <c r="L693" t="s">
        <v>1380</v>
      </c>
    </row>
    <row r="694" spans="1:12" x14ac:dyDescent="0.25">
      <c r="A694" s="3">
        <v>45471</v>
      </c>
      <c r="B694" t="s">
        <v>886</v>
      </c>
      <c r="C694" t="s">
        <v>1269</v>
      </c>
      <c r="D694" t="s">
        <v>1344</v>
      </c>
      <c r="E694" t="s">
        <v>1347</v>
      </c>
      <c r="F694" t="s">
        <v>1351</v>
      </c>
      <c r="G694" t="s">
        <v>1356</v>
      </c>
      <c r="H694" s="5">
        <v>40</v>
      </c>
      <c r="I694" s="9">
        <v>1999</v>
      </c>
      <c r="J694" s="9">
        <f t="shared" si="10"/>
        <v>79960</v>
      </c>
      <c r="K694" t="s">
        <v>1378</v>
      </c>
      <c r="L694" t="s">
        <v>1380</v>
      </c>
    </row>
    <row r="695" spans="1:12" x14ac:dyDescent="0.25">
      <c r="A695" s="3">
        <v>45505</v>
      </c>
      <c r="B695" t="s">
        <v>1010</v>
      </c>
      <c r="C695" t="s">
        <v>1213</v>
      </c>
      <c r="D695" t="s">
        <v>1344</v>
      </c>
      <c r="E695" t="s">
        <v>1349</v>
      </c>
      <c r="F695" t="s">
        <v>1355</v>
      </c>
      <c r="G695" t="s">
        <v>1360</v>
      </c>
      <c r="H695" s="5">
        <v>46</v>
      </c>
      <c r="I695" s="9">
        <v>999</v>
      </c>
      <c r="J695" s="9">
        <f t="shared" si="10"/>
        <v>45954</v>
      </c>
      <c r="K695" t="s">
        <v>1379</v>
      </c>
      <c r="L695" t="s">
        <v>1382</v>
      </c>
    </row>
    <row r="696" spans="1:12" x14ac:dyDescent="0.25">
      <c r="A696" s="3">
        <v>45555</v>
      </c>
      <c r="B696" t="s">
        <v>660</v>
      </c>
      <c r="C696" t="s">
        <v>1256</v>
      </c>
      <c r="D696" t="s">
        <v>1389</v>
      </c>
      <c r="E696" t="s">
        <v>1349</v>
      </c>
      <c r="F696" t="s">
        <v>1352</v>
      </c>
      <c r="G696" t="s">
        <v>1358</v>
      </c>
      <c r="H696" s="5">
        <v>3</v>
      </c>
      <c r="I696" s="9">
        <v>1624</v>
      </c>
      <c r="J696" s="9">
        <f t="shared" si="10"/>
        <v>4872</v>
      </c>
      <c r="K696" t="s">
        <v>1379</v>
      </c>
      <c r="L696" t="s">
        <v>1384</v>
      </c>
    </row>
    <row r="697" spans="1:12" x14ac:dyDescent="0.25">
      <c r="A697" s="3">
        <v>45389</v>
      </c>
      <c r="B697" t="s">
        <v>56</v>
      </c>
      <c r="C697" t="s">
        <v>1064</v>
      </c>
      <c r="D697" t="s">
        <v>1344</v>
      </c>
      <c r="E697" t="s">
        <v>1346</v>
      </c>
      <c r="F697" t="s">
        <v>1351</v>
      </c>
      <c r="G697" t="s">
        <v>1356</v>
      </c>
      <c r="H697" s="5">
        <v>24</v>
      </c>
      <c r="I697" s="9">
        <v>3499</v>
      </c>
      <c r="J697" s="9">
        <f t="shared" si="10"/>
        <v>83976</v>
      </c>
      <c r="K697" t="s">
        <v>1379</v>
      </c>
      <c r="L697" t="s">
        <v>1380</v>
      </c>
    </row>
    <row r="698" spans="1:12" x14ac:dyDescent="0.25">
      <c r="A698" s="3">
        <v>45550</v>
      </c>
      <c r="B698" t="s">
        <v>783</v>
      </c>
      <c r="C698" t="s">
        <v>1305</v>
      </c>
      <c r="D698" t="s">
        <v>1345</v>
      </c>
      <c r="E698" t="s">
        <v>1349</v>
      </c>
      <c r="F698" t="s">
        <v>1355</v>
      </c>
      <c r="G698" t="s">
        <v>1373</v>
      </c>
      <c r="H698" s="5">
        <v>41</v>
      </c>
      <c r="I698" s="9">
        <v>499</v>
      </c>
      <c r="J698" s="9">
        <f t="shared" si="10"/>
        <v>20459</v>
      </c>
      <c r="K698" t="s">
        <v>1379</v>
      </c>
      <c r="L698" t="s">
        <v>1382</v>
      </c>
    </row>
    <row r="699" spans="1:12" x14ac:dyDescent="0.25">
      <c r="A699" s="3">
        <v>45329</v>
      </c>
      <c r="B699" t="s">
        <v>103</v>
      </c>
      <c r="C699" t="s">
        <v>1101</v>
      </c>
      <c r="D699" t="s">
        <v>1344</v>
      </c>
      <c r="E699" t="s">
        <v>1348</v>
      </c>
      <c r="F699" t="s">
        <v>1355</v>
      </c>
      <c r="G699" t="s">
        <v>1372</v>
      </c>
      <c r="H699" s="5">
        <v>41</v>
      </c>
      <c r="I699" s="9">
        <v>2499</v>
      </c>
      <c r="J699" s="9">
        <f t="shared" si="10"/>
        <v>102459</v>
      </c>
      <c r="K699" t="s">
        <v>1376</v>
      </c>
      <c r="L699" t="s">
        <v>1382</v>
      </c>
    </row>
    <row r="700" spans="1:12" x14ac:dyDescent="0.25">
      <c r="A700" s="3">
        <v>45326</v>
      </c>
      <c r="B700" t="s">
        <v>590</v>
      </c>
      <c r="C700" t="s">
        <v>1266</v>
      </c>
      <c r="D700" t="s">
        <v>1389</v>
      </c>
      <c r="E700" t="s">
        <v>1348</v>
      </c>
      <c r="F700" t="s">
        <v>1354</v>
      </c>
      <c r="G700" t="s">
        <v>1361</v>
      </c>
      <c r="H700" s="5">
        <v>1</v>
      </c>
      <c r="I700" s="9">
        <v>2999</v>
      </c>
      <c r="J700" s="9">
        <f t="shared" si="10"/>
        <v>2999</v>
      </c>
      <c r="K700" t="s">
        <v>1378</v>
      </c>
      <c r="L700" t="s">
        <v>1380</v>
      </c>
    </row>
    <row r="701" spans="1:12" x14ac:dyDescent="0.25">
      <c r="A701" s="3">
        <v>45528</v>
      </c>
      <c r="B701" t="s">
        <v>1006</v>
      </c>
      <c r="C701" t="s">
        <v>1277</v>
      </c>
      <c r="D701" t="s">
        <v>1345</v>
      </c>
      <c r="E701" t="s">
        <v>1347</v>
      </c>
      <c r="F701" t="s">
        <v>1355</v>
      </c>
      <c r="G701" t="s">
        <v>1360</v>
      </c>
      <c r="H701" s="5">
        <v>5</v>
      </c>
      <c r="I701" s="9">
        <v>1999</v>
      </c>
      <c r="J701" s="9">
        <f t="shared" si="10"/>
        <v>9995</v>
      </c>
      <c r="K701" t="s">
        <v>1376</v>
      </c>
      <c r="L701" t="s">
        <v>1382</v>
      </c>
    </row>
    <row r="702" spans="1:12" x14ac:dyDescent="0.25">
      <c r="A702" s="3">
        <v>45415</v>
      </c>
      <c r="B702" t="s">
        <v>144</v>
      </c>
      <c r="C702" t="s">
        <v>1084</v>
      </c>
      <c r="D702" t="s">
        <v>1345</v>
      </c>
      <c r="E702" t="s">
        <v>1347</v>
      </c>
      <c r="F702" t="s">
        <v>1352</v>
      </c>
      <c r="G702" t="s">
        <v>1375</v>
      </c>
      <c r="H702" s="5">
        <v>20</v>
      </c>
      <c r="I702" s="9">
        <v>199</v>
      </c>
      <c r="J702" s="9">
        <f t="shared" si="10"/>
        <v>3980</v>
      </c>
      <c r="K702" t="s">
        <v>1378</v>
      </c>
      <c r="L702" t="s">
        <v>1380</v>
      </c>
    </row>
    <row r="703" spans="1:12" x14ac:dyDescent="0.25">
      <c r="A703" s="3">
        <v>45517</v>
      </c>
      <c r="B703" t="s">
        <v>396</v>
      </c>
      <c r="C703" t="s">
        <v>1068</v>
      </c>
      <c r="D703" t="s">
        <v>1389</v>
      </c>
      <c r="E703" t="s">
        <v>1347</v>
      </c>
      <c r="F703" t="s">
        <v>1353</v>
      </c>
      <c r="G703" t="s">
        <v>1365</v>
      </c>
      <c r="H703" s="5">
        <v>45</v>
      </c>
      <c r="I703" s="9">
        <v>1999</v>
      </c>
      <c r="J703" s="9">
        <f t="shared" si="10"/>
        <v>89955</v>
      </c>
      <c r="K703" t="s">
        <v>1379</v>
      </c>
      <c r="L703" t="s">
        <v>1382</v>
      </c>
    </row>
    <row r="704" spans="1:12" x14ac:dyDescent="0.25">
      <c r="A704" s="3">
        <v>45543</v>
      </c>
      <c r="B704" t="s">
        <v>337</v>
      </c>
      <c r="C704" t="s">
        <v>1137</v>
      </c>
      <c r="D704" t="s">
        <v>1344</v>
      </c>
      <c r="E704" t="s">
        <v>1349</v>
      </c>
      <c r="F704" t="s">
        <v>1355</v>
      </c>
      <c r="G704" t="s">
        <v>1374</v>
      </c>
      <c r="H704" s="5">
        <v>27</v>
      </c>
      <c r="I704" s="9">
        <v>1999</v>
      </c>
      <c r="J704" s="9">
        <f t="shared" si="10"/>
        <v>53973</v>
      </c>
      <c r="K704" t="s">
        <v>1378</v>
      </c>
      <c r="L704" t="s">
        <v>1382</v>
      </c>
    </row>
    <row r="705" spans="1:12" x14ac:dyDescent="0.25">
      <c r="A705" s="3">
        <v>45438</v>
      </c>
      <c r="B705" t="s">
        <v>961</v>
      </c>
      <c r="C705" t="s">
        <v>1071</v>
      </c>
      <c r="D705" t="s">
        <v>1389</v>
      </c>
      <c r="E705" t="s">
        <v>1347</v>
      </c>
      <c r="F705" t="s">
        <v>1352</v>
      </c>
      <c r="G705" t="s">
        <v>1375</v>
      </c>
      <c r="H705" s="5">
        <v>12</v>
      </c>
      <c r="I705" s="9">
        <v>499</v>
      </c>
      <c r="J705" s="9">
        <f t="shared" si="10"/>
        <v>5988</v>
      </c>
      <c r="K705" t="s">
        <v>1379</v>
      </c>
      <c r="L705" t="s">
        <v>1384</v>
      </c>
    </row>
    <row r="706" spans="1:12" x14ac:dyDescent="0.25">
      <c r="A706" s="3">
        <v>45439</v>
      </c>
      <c r="B706" t="s">
        <v>947</v>
      </c>
      <c r="C706" t="s">
        <v>1079</v>
      </c>
      <c r="D706" t="s">
        <v>1345</v>
      </c>
      <c r="E706" t="s">
        <v>1347</v>
      </c>
      <c r="F706" t="s">
        <v>1352</v>
      </c>
      <c r="G706" t="s">
        <v>1358</v>
      </c>
      <c r="H706" s="5">
        <v>11</v>
      </c>
      <c r="I706" s="9">
        <v>999</v>
      </c>
      <c r="J706" s="9">
        <f t="shared" ref="J706:J769" si="11">H706*I706</f>
        <v>10989</v>
      </c>
      <c r="K706" t="s">
        <v>1379</v>
      </c>
      <c r="L706" t="s">
        <v>1383</v>
      </c>
    </row>
    <row r="707" spans="1:12" x14ac:dyDescent="0.25">
      <c r="A707" s="3">
        <v>45612</v>
      </c>
      <c r="B707" t="s">
        <v>1008</v>
      </c>
      <c r="C707" t="s">
        <v>1103</v>
      </c>
      <c r="D707" t="s">
        <v>1344</v>
      </c>
      <c r="E707" t="s">
        <v>1347</v>
      </c>
      <c r="F707" t="s">
        <v>1355</v>
      </c>
      <c r="G707" t="s">
        <v>1360</v>
      </c>
      <c r="H707" s="5">
        <v>13</v>
      </c>
      <c r="I707" s="9">
        <v>2999</v>
      </c>
      <c r="J707" s="9">
        <f t="shared" si="11"/>
        <v>38987</v>
      </c>
      <c r="K707" t="s">
        <v>1379</v>
      </c>
      <c r="L707" t="s">
        <v>1384</v>
      </c>
    </row>
    <row r="708" spans="1:12" x14ac:dyDescent="0.25">
      <c r="A708" s="3">
        <v>45442</v>
      </c>
      <c r="B708" t="s">
        <v>968</v>
      </c>
      <c r="C708" t="s">
        <v>1253</v>
      </c>
      <c r="D708" t="s">
        <v>1345</v>
      </c>
      <c r="E708" t="s">
        <v>1349</v>
      </c>
      <c r="F708" t="s">
        <v>1351</v>
      </c>
      <c r="G708" t="s">
        <v>1370</v>
      </c>
      <c r="H708" s="5">
        <v>8</v>
      </c>
      <c r="I708" s="9">
        <v>1999</v>
      </c>
      <c r="J708" s="9">
        <f t="shared" si="11"/>
        <v>15992</v>
      </c>
      <c r="K708" t="s">
        <v>1379</v>
      </c>
      <c r="L708" t="s">
        <v>1384</v>
      </c>
    </row>
    <row r="709" spans="1:12" x14ac:dyDescent="0.25">
      <c r="A709" s="3">
        <v>45342</v>
      </c>
      <c r="B709" t="s">
        <v>563</v>
      </c>
      <c r="C709" t="s">
        <v>1178</v>
      </c>
      <c r="D709" t="s">
        <v>1344</v>
      </c>
      <c r="E709" t="s">
        <v>1350</v>
      </c>
      <c r="F709" t="s">
        <v>1353</v>
      </c>
      <c r="G709" t="s">
        <v>1369</v>
      </c>
      <c r="H709" s="5">
        <v>34</v>
      </c>
      <c r="I709" s="9">
        <v>199</v>
      </c>
      <c r="J709" s="9">
        <f t="shared" si="11"/>
        <v>6766</v>
      </c>
      <c r="K709" t="s">
        <v>1379</v>
      </c>
      <c r="L709" t="s">
        <v>1381</v>
      </c>
    </row>
    <row r="710" spans="1:12" x14ac:dyDescent="0.25">
      <c r="A710" s="3">
        <v>45498</v>
      </c>
      <c r="B710" t="s">
        <v>634</v>
      </c>
      <c r="C710" t="s">
        <v>1187</v>
      </c>
      <c r="D710" t="s">
        <v>1344</v>
      </c>
      <c r="E710" t="s">
        <v>1348</v>
      </c>
      <c r="F710" t="s">
        <v>1352</v>
      </c>
      <c r="G710" t="s">
        <v>1375</v>
      </c>
      <c r="H710" s="5">
        <v>18</v>
      </c>
      <c r="I710" s="9">
        <v>1999</v>
      </c>
      <c r="J710" s="9">
        <f t="shared" si="11"/>
        <v>35982</v>
      </c>
      <c r="K710" t="s">
        <v>1376</v>
      </c>
      <c r="L710" t="s">
        <v>1381</v>
      </c>
    </row>
    <row r="711" spans="1:12" x14ac:dyDescent="0.25">
      <c r="A711" s="3">
        <v>45496</v>
      </c>
      <c r="B711" t="s">
        <v>331</v>
      </c>
      <c r="C711" t="s">
        <v>1220</v>
      </c>
      <c r="D711" t="s">
        <v>1344</v>
      </c>
      <c r="E711" t="s">
        <v>1348</v>
      </c>
      <c r="F711" t="s">
        <v>1352</v>
      </c>
      <c r="G711" t="s">
        <v>1358</v>
      </c>
      <c r="H711" s="5">
        <v>48</v>
      </c>
      <c r="I711" s="9">
        <v>999</v>
      </c>
      <c r="J711" s="9">
        <f t="shared" si="11"/>
        <v>47952</v>
      </c>
      <c r="K711" t="s">
        <v>1377</v>
      </c>
      <c r="L711" t="s">
        <v>1380</v>
      </c>
    </row>
    <row r="712" spans="1:12" x14ac:dyDescent="0.25">
      <c r="A712" s="3">
        <v>45565</v>
      </c>
      <c r="B712" t="s">
        <v>293</v>
      </c>
      <c r="C712" t="s">
        <v>1199</v>
      </c>
      <c r="D712" t="s">
        <v>1389</v>
      </c>
      <c r="E712" t="s">
        <v>1350</v>
      </c>
      <c r="F712" t="s">
        <v>1353</v>
      </c>
      <c r="G712" t="s">
        <v>1369</v>
      </c>
      <c r="H712" s="5">
        <v>26</v>
      </c>
      <c r="I712" s="9">
        <v>499</v>
      </c>
      <c r="J712" s="9">
        <f t="shared" si="11"/>
        <v>12974</v>
      </c>
      <c r="K712" t="s">
        <v>1377</v>
      </c>
      <c r="L712" t="s">
        <v>1380</v>
      </c>
    </row>
    <row r="713" spans="1:12" x14ac:dyDescent="0.25">
      <c r="A713" s="3">
        <v>45580</v>
      </c>
      <c r="B713" t="s">
        <v>69</v>
      </c>
      <c r="C713" t="s">
        <v>1074</v>
      </c>
      <c r="D713" t="s">
        <v>1345</v>
      </c>
      <c r="E713" t="s">
        <v>1349</v>
      </c>
      <c r="F713" t="s">
        <v>1352</v>
      </c>
      <c r="G713" t="s">
        <v>1358</v>
      </c>
      <c r="H713" s="5">
        <v>3</v>
      </c>
      <c r="I713" s="9">
        <v>1499</v>
      </c>
      <c r="J713" s="9">
        <f t="shared" si="11"/>
        <v>4497</v>
      </c>
      <c r="K713" t="s">
        <v>1379</v>
      </c>
      <c r="L713" t="s">
        <v>1384</v>
      </c>
    </row>
    <row r="714" spans="1:12" x14ac:dyDescent="0.25">
      <c r="A714" s="3">
        <v>45494</v>
      </c>
      <c r="B714" t="s">
        <v>1001</v>
      </c>
      <c r="C714" t="s">
        <v>1225</v>
      </c>
      <c r="D714" t="s">
        <v>1344</v>
      </c>
      <c r="E714" t="s">
        <v>1349</v>
      </c>
      <c r="F714" t="s">
        <v>1351</v>
      </c>
      <c r="G714" t="s">
        <v>1370</v>
      </c>
      <c r="H714" s="5">
        <v>20</v>
      </c>
      <c r="I714" s="9">
        <v>1878</v>
      </c>
      <c r="J714" s="9">
        <f t="shared" si="11"/>
        <v>37560</v>
      </c>
      <c r="K714" t="s">
        <v>1379</v>
      </c>
      <c r="L714" t="s">
        <v>1380</v>
      </c>
    </row>
    <row r="715" spans="1:12" x14ac:dyDescent="0.25">
      <c r="A715" s="3">
        <v>45386</v>
      </c>
      <c r="B715" t="s">
        <v>993</v>
      </c>
      <c r="C715" t="s">
        <v>1296</v>
      </c>
      <c r="D715" t="s">
        <v>1344</v>
      </c>
      <c r="E715" t="s">
        <v>1346</v>
      </c>
      <c r="F715" t="s">
        <v>1351</v>
      </c>
      <c r="G715" t="s">
        <v>1356</v>
      </c>
      <c r="H715" s="5">
        <v>48</v>
      </c>
      <c r="I715" s="9">
        <v>199</v>
      </c>
      <c r="J715" s="9">
        <f t="shared" si="11"/>
        <v>9552</v>
      </c>
      <c r="K715" t="s">
        <v>1379</v>
      </c>
      <c r="L715" t="s">
        <v>1384</v>
      </c>
    </row>
    <row r="716" spans="1:12" x14ac:dyDescent="0.25">
      <c r="A716" s="3">
        <v>45361</v>
      </c>
      <c r="B716" t="s">
        <v>971</v>
      </c>
      <c r="C716" t="s">
        <v>1276</v>
      </c>
      <c r="D716" t="s">
        <v>1344</v>
      </c>
      <c r="E716" t="s">
        <v>1347</v>
      </c>
      <c r="F716" t="s">
        <v>1355</v>
      </c>
      <c r="G716" t="s">
        <v>1372</v>
      </c>
      <c r="H716" s="5">
        <v>27</v>
      </c>
      <c r="I716" s="9">
        <v>1499</v>
      </c>
      <c r="J716" s="9">
        <f t="shared" si="11"/>
        <v>40473</v>
      </c>
      <c r="K716" t="s">
        <v>1379</v>
      </c>
      <c r="L716" t="s">
        <v>1384</v>
      </c>
    </row>
    <row r="717" spans="1:12" x14ac:dyDescent="0.25">
      <c r="A717" s="3">
        <v>45518</v>
      </c>
      <c r="B717" t="s">
        <v>165</v>
      </c>
      <c r="C717" t="s">
        <v>1067</v>
      </c>
      <c r="D717" t="s">
        <v>1344</v>
      </c>
      <c r="E717" t="s">
        <v>1348</v>
      </c>
      <c r="F717" t="s">
        <v>1355</v>
      </c>
      <c r="G717" t="s">
        <v>1374</v>
      </c>
      <c r="H717" s="5">
        <v>2</v>
      </c>
      <c r="I717" s="9">
        <v>1499</v>
      </c>
      <c r="J717" s="9">
        <f t="shared" si="11"/>
        <v>2998</v>
      </c>
      <c r="K717" t="s">
        <v>1377</v>
      </c>
      <c r="L717" t="s">
        <v>1381</v>
      </c>
    </row>
    <row r="718" spans="1:12" x14ac:dyDescent="0.25">
      <c r="A718" s="3">
        <v>45652</v>
      </c>
      <c r="B718" t="s">
        <v>135</v>
      </c>
      <c r="C718" t="s">
        <v>1121</v>
      </c>
      <c r="D718" t="s">
        <v>1344</v>
      </c>
      <c r="E718" t="s">
        <v>1349</v>
      </c>
      <c r="F718" t="s">
        <v>1355</v>
      </c>
      <c r="G718" t="s">
        <v>1372</v>
      </c>
      <c r="H718" s="5">
        <v>19</v>
      </c>
      <c r="I718" s="9">
        <v>199</v>
      </c>
      <c r="J718" s="9">
        <f t="shared" si="11"/>
        <v>3781</v>
      </c>
      <c r="K718" t="s">
        <v>1378</v>
      </c>
      <c r="L718" t="s">
        <v>1384</v>
      </c>
    </row>
    <row r="719" spans="1:12" x14ac:dyDescent="0.25">
      <c r="A719" s="3">
        <v>45511</v>
      </c>
      <c r="B719" t="s">
        <v>887</v>
      </c>
      <c r="C719" t="s">
        <v>1146</v>
      </c>
      <c r="D719" t="s">
        <v>1344</v>
      </c>
      <c r="E719" t="s">
        <v>1346</v>
      </c>
      <c r="F719" t="s">
        <v>1351</v>
      </c>
      <c r="G719" t="s">
        <v>1371</v>
      </c>
      <c r="H719" s="5">
        <v>15</v>
      </c>
      <c r="I719" s="9">
        <v>3499</v>
      </c>
      <c r="J719" s="9">
        <f t="shared" si="11"/>
        <v>52485</v>
      </c>
      <c r="K719" t="s">
        <v>1379</v>
      </c>
      <c r="L719" t="s">
        <v>1384</v>
      </c>
    </row>
    <row r="720" spans="1:12" x14ac:dyDescent="0.25">
      <c r="A720" s="3">
        <v>45311</v>
      </c>
      <c r="B720" t="s">
        <v>569</v>
      </c>
      <c r="C720" t="s">
        <v>1294</v>
      </c>
      <c r="D720" t="s">
        <v>1345</v>
      </c>
      <c r="E720" t="s">
        <v>1349</v>
      </c>
      <c r="F720" t="s">
        <v>1355</v>
      </c>
      <c r="G720" t="s">
        <v>1372</v>
      </c>
      <c r="H720" s="5">
        <v>10</v>
      </c>
      <c r="I720" s="9">
        <v>1999</v>
      </c>
      <c r="J720" s="9">
        <f t="shared" si="11"/>
        <v>19990</v>
      </c>
      <c r="K720" t="s">
        <v>1376</v>
      </c>
      <c r="L720" t="s">
        <v>1380</v>
      </c>
    </row>
    <row r="721" spans="1:12" x14ac:dyDescent="0.25">
      <c r="A721" s="3">
        <v>45632</v>
      </c>
      <c r="B721" t="s">
        <v>835</v>
      </c>
      <c r="C721" t="s">
        <v>1157</v>
      </c>
      <c r="D721" t="s">
        <v>1389</v>
      </c>
      <c r="E721" t="s">
        <v>1349</v>
      </c>
      <c r="F721" t="s">
        <v>1352</v>
      </c>
      <c r="G721" t="s">
        <v>1358</v>
      </c>
      <c r="H721" s="5">
        <v>4</v>
      </c>
      <c r="I721" s="9">
        <v>2499</v>
      </c>
      <c r="J721" s="9">
        <f t="shared" si="11"/>
        <v>9996</v>
      </c>
      <c r="K721" t="s">
        <v>1376</v>
      </c>
      <c r="L721" t="s">
        <v>1381</v>
      </c>
    </row>
    <row r="722" spans="1:12" x14ac:dyDescent="0.25">
      <c r="A722" s="3">
        <v>45620</v>
      </c>
      <c r="B722" t="s">
        <v>54</v>
      </c>
      <c r="C722" t="s">
        <v>1063</v>
      </c>
      <c r="D722" t="s">
        <v>1344</v>
      </c>
      <c r="E722" t="s">
        <v>1348</v>
      </c>
      <c r="F722" t="s">
        <v>1354</v>
      </c>
      <c r="G722" t="s">
        <v>1361</v>
      </c>
      <c r="H722" s="5">
        <v>44</v>
      </c>
      <c r="I722" s="9">
        <v>199</v>
      </c>
      <c r="J722" s="9">
        <f t="shared" si="11"/>
        <v>8756</v>
      </c>
      <c r="K722" t="s">
        <v>1376</v>
      </c>
      <c r="L722" t="s">
        <v>1382</v>
      </c>
    </row>
    <row r="723" spans="1:12" x14ac:dyDescent="0.25">
      <c r="A723" s="3">
        <v>45534</v>
      </c>
      <c r="B723" t="s">
        <v>79</v>
      </c>
      <c r="C723" t="s">
        <v>1084</v>
      </c>
      <c r="D723" t="s">
        <v>1389</v>
      </c>
      <c r="E723" t="s">
        <v>1349</v>
      </c>
      <c r="F723" t="s">
        <v>1353</v>
      </c>
      <c r="G723" t="s">
        <v>1367</v>
      </c>
      <c r="H723" s="5">
        <v>16</v>
      </c>
      <c r="I723" s="9">
        <v>199</v>
      </c>
      <c r="J723" s="9">
        <f t="shared" si="11"/>
        <v>3184</v>
      </c>
      <c r="K723" t="s">
        <v>1379</v>
      </c>
      <c r="L723" t="s">
        <v>1380</v>
      </c>
    </row>
    <row r="724" spans="1:12" x14ac:dyDescent="0.25">
      <c r="A724" s="3">
        <v>45386</v>
      </c>
      <c r="B724" t="s">
        <v>45</v>
      </c>
      <c r="C724" t="s">
        <v>1055</v>
      </c>
      <c r="D724" t="s">
        <v>1345</v>
      </c>
      <c r="E724" t="s">
        <v>1348</v>
      </c>
      <c r="F724" t="s">
        <v>1355</v>
      </c>
      <c r="G724" t="s">
        <v>1373</v>
      </c>
      <c r="H724" s="5">
        <v>29</v>
      </c>
      <c r="I724" s="9">
        <v>2999</v>
      </c>
      <c r="J724" s="9">
        <f t="shared" si="11"/>
        <v>86971</v>
      </c>
      <c r="K724" t="s">
        <v>1379</v>
      </c>
      <c r="L724" t="s">
        <v>1384</v>
      </c>
    </row>
    <row r="725" spans="1:12" x14ac:dyDescent="0.25">
      <c r="A725" s="3">
        <v>45549</v>
      </c>
      <c r="B725" t="s">
        <v>868</v>
      </c>
      <c r="C725" t="s">
        <v>1238</v>
      </c>
      <c r="D725" t="s">
        <v>1345</v>
      </c>
      <c r="E725" t="s">
        <v>1348</v>
      </c>
      <c r="F725" t="s">
        <v>1352</v>
      </c>
      <c r="G725" t="s">
        <v>1358</v>
      </c>
      <c r="H725" s="5">
        <v>6</v>
      </c>
      <c r="I725" s="9">
        <v>499</v>
      </c>
      <c r="J725" s="9">
        <f t="shared" si="11"/>
        <v>2994</v>
      </c>
      <c r="K725" t="s">
        <v>1379</v>
      </c>
      <c r="L725" t="s">
        <v>1383</v>
      </c>
    </row>
    <row r="726" spans="1:12" x14ac:dyDescent="0.25">
      <c r="A726" s="3">
        <v>45304</v>
      </c>
      <c r="B726" t="s">
        <v>65</v>
      </c>
      <c r="C726" t="s">
        <v>1071</v>
      </c>
      <c r="D726" t="s">
        <v>1389</v>
      </c>
      <c r="E726" t="s">
        <v>1348</v>
      </c>
      <c r="F726" t="s">
        <v>1354</v>
      </c>
      <c r="G726" t="s">
        <v>1363</v>
      </c>
      <c r="H726" s="5">
        <v>5</v>
      </c>
      <c r="I726" s="9">
        <v>199</v>
      </c>
      <c r="J726" s="9">
        <f t="shared" si="11"/>
        <v>995</v>
      </c>
      <c r="K726" t="s">
        <v>1379</v>
      </c>
      <c r="L726" t="s">
        <v>1384</v>
      </c>
    </row>
    <row r="727" spans="1:12" x14ac:dyDescent="0.25">
      <c r="A727" s="3">
        <v>45386</v>
      </c>
      <c r="B727" t="s">
        <v>970</v>
      </c>
      <c r="C727" t="s">
        <v>1167</v>
      </c>
      <c r="D727" t="s">
        <v>1345</v>
      </c>
      <c r="E727" t="s">
        <v>1349</v>
      </c>
      <c r="F727" t="s">
        <v>1351</v>
      </c>
      <c r="G727" t="s">
        <v>1370</v>
      </c>
      <c r="H727" s="5">
        <v>5</v>
      </c>
      <c r="I727" s="9">
        <v>2499</v>
      </c>
      <c r="J727" s="9">
        <f t="shared" si="11"/>
        <v>12495</v>
      </c>
      <c r="K727" t="s">
        <v>1376</v>
      </c>
      <c r="L727" t="s">
        <v>1382</v>
      </c>
    </row>
    <row r="728" spans="1:12" x14ac:dyDescent="0.25">
      <c r="A728" s="3">
        <v>45430</v>
      </c>
      <c r="B728" t="s">
        <v>845</v>
      </c>
      <c r="C728" t="s">
        <v>1110</v>
      </c>
      <c r="D728" t="s">
        <v>1389</v>
      </c>
      <c r="E728" t="s">
        <v>1347</v>
      </c>
      <c r="F728" t="s">
        <v>1354</v>
      </c>
      <c r="G728" t="s">
        <v>1363</v>
      </c>
      <c r="H728" s="5">
        <v>37</v>
      </c>
      <c r="I728" s="9">
        <v>1499</v>
      </c>
      <c r="J728" s="9">
        <f t="shared" si="11"/>
        <v>55463</v>
      </c>
      <c r="K728" t="s">
        <v>1379</v>
      </c>
      <c r="L728" t="s">
        <v>1382</v>
      </c>
    </row>
    <row r="729" spans="1:12" x14ac:dyDescent="0.25">
      <c r="A729" s="3">
        <v>45465</v>
      </c>
      <c r="B729" t="s">
        <v>921</v>
      </c>
      <c r="C729" t="s">
        <v>1261</v>
      </c>
      <c r="D729" t="s">
        <v>1344</v>
      </c>
      <c r="E729" t="s">
        <v>1348</v>
      </c>
      <c r="F729" t="s">
        <v>1353</v>
      </c>
      <c r="G729" t="s">
        <v>1367</v>
      </c>
      <c r="H729" s="5">
        <v>15</v>
      </c>
      <c r="I729" s="9">
        <v>1845</v>
      </c>
      <c r="J729" s="9">
        <f t="shared" si="11"/>
        <v>27675</v>
      </c>
      <c r="K729" t="s">
        <v>1377</v>
      </c>
      <c r="L729" t="s">
        <v>1384</v>
      </c>
    </row>
    <row r="730" spans="1:12" x14ac:dyDescent="0.25">
      <c r="A730" s="3">
        <v>45342</v>
      </c>
      <c r="B730" t="s">
        <v>115</v>
      </c>
      <c r="C730" t="s">
        <v>1109</v>
      </c>
      <c r="D730" t="s">
        <v>1344</v>
      </c>
      <c r="E730" t="s">
        <v>1350</v>
      </c>
      <c r="F730" t="s">
        <v>1355</v>
      </c>
      <c r="G730" t="s">
        <v>1372</v>
      </c>
      <c r="H730" s="5">
        <v>24</v>
      </c>
      <c r="I730" s="9">
        <v>1838</v>
      </c>
      <c r="J730" s="9">
        <f t="shared" si="11"/>
        <v>44112</v>
      </c>
      <c r="K730" t="s">
        <v>1378</v>
      </c>
      <c r="L730" t="s">
        <v>1382</v>
      </c>
    </row>
    <row r="731" spans="1:12" x14ac:dyDescent="0.25">
      <c r="A731" s="3">
        <v>45436</v>
      </c>
      <c r="B731" t="s">
        <v>840</v>
      </c>
      <c r="C731" t="s">
        <v>1329</v>
      </c>
      <c r="D731" t="s">
        <v>1344</v>
      </c>
      <c r="E731" t="s">
        <v>1349</v>
      </c>
      <c r="F731" t="s">
        <v>1351</v>
      </c>
      <c r="G731" t="s">
        <v>1370</v>
      </c>
      <c r="H731" s="5">
        <v>11</v>
      </c>
      <c r="I731" s="9">
        <v>1999</v>
      </c>
      <c r="J731" s="9">
        <f t="shared" si="11"/>
        <v>21989</v>
      </c>
      <c r="K731" t="s">
        <v>1377</v>
      </c>
      <c r="L731" t="s">
        <v>1382</v>
      </c>
    </row>
    <row r="732" spans="1:12" x14ac:dyDescent="0.25">
      <c r="A732" s="3">
        <v>45366</v>
      </c>
      <c r="B732" t="s">
        <v>492</v>
      </c>
      <c r="C732" t="s">
        <v>1283</v>
      </c>
      <c r="D732" t="s">
        <v>1345</v>
      </c>
      <c r="E732" t="s">
        <v>1347</v>
      </c>
      <c r="F732" t="s">
        <v>1354</v>
      </c>
      <c r="G732" t="s">
        <v>1361</v>
      </c>
      <c r="H732" s="5">
        <v>36</v>
      </c>
      <c r="I732" s="9">
        <v>1749</v>
      </c>
      <c r="J732" s="9">
        <f t="shared" si="11"/>
        <v>62964</v>
      </c>
      <c r="K732" t="s">
        <v>1379</v>
      </c>
      <c r="L732" t="s">
        <v>1380</v>
      </c>
    </row>
    <row r="733" spans="1:12" x14ac:dyDescent="0.25">
      <c r="A733" s="3">
        <v>45526</v>
      </c>
      <c r="B733" t="s">
        <v>815</v>
      </c>
      <c r="C733" t="s">
        <v>1238</v>
      </c>
      <c r="D733" t="s">
        <v>1389</v>
      </c>
      <c r="E733" t="s">
        <v>1349</v>
      </c>
      <c r="F733" t="s">
        <v>1353</v>
      </c>
      <c r="G733" t="s">
        <v>1369</v>
      </c>
      <c r="H733" s="5">
        <v>2</v>
      </c>
      <c r="I733" s="9">
        <v>2499</v>
      </c>
      <c r="J733" s="9">
        <f t="shared" si="11"/>
        <v>4998</v>
      </c>
      <c r="K733" t="s">
        <v>1378</v>
      </c>
      <c r="L733" t="s">
        <v>1382</v>
      </c>
    </row>
    <row r="734" spans="1:12" x14ac:dyDescent="0.25">
      <c r="A734" s="3">
        <v>45595</v>
      </c>
      <c r="B734" t="s">
        <v>446</v>
      </c>
      <c r="C734" t="s">
        <v>1265</v>
      </c>
      <c r="D734" t="s">
        <v>1389</v>
      </c>
      <c r="E734" t="s">
        <v>1348</v>
      </c>
      <c r="F734" t="s">
        <v>1352</v>
      </c>
      <c r="G734" t="s">
        <v>1375</v>
      </c>
      <c r="H734" s="5">
        <v>19</v>
      </c>
      <c r="I734" s="9">
        <v>499</v>
      </c>
      <c r="J734" s="9">
        <f t="shared" si="11"/>
        <v>9481</v>
      </c>
      <c r="K734" t="s">
        <v>1377</v>
      </c>
      <c r="L734" t="s">
        <v>1380</v>
      </c>
    </row>
    <row r="735" spans="1:12" x14ac:dyDescent="0.25">
      <c r="A735" s="3">
        <v>45313</v>
      </c>
      <c r="B735" t="s">
        <v>917</v>
      </c>
      <c r="C735" t="s">
        <v>1236</v>
      </c>
      <c r="D735" t="s">
        <v>1345</v>
      </c>
      <c r="E735" t="s">
        <v>1349</v>
      </c>
      <c r="F735" t="s">
        <v>1354</v>
      </c>
      <c r="G735" t="s">
        <v>1366</v>
      </c>
      <c r="H735" s="5">
        <v>29</v>
      </c>
      <c r="I735" s="9">
        <v>1749</v>
      </c>
      <c r="J735" s="9">
        <f t="shared" si="11"/>
        <v>50721</v>
      </c>
      <c r="K735" t="s">
        <v>1377</v>
      </c>
      <c r="L735" t="s">
        <v>1384</v>
      </c>
    </row>
    <row r="736" spans="1:12" x14ac:dyDescent="0.25">
      <c r="A736" s="3">
        <v>45594</v>
      </c>
      <c r="B736" t="s">
        <v>114</v>
      </c>
      <c r="C736" t="s">
        <v>1108</v>
      </c>
      <c r="D736" t="s">
        <v>1389</v>
      </c>
      <c r="E736" t="s">
        <v>1348</v>
      </c>
      <c r="F736" t="s">
        <v>1352</v>
      </c>
      <c r="G736" t="s">
        <v>1368</v>
      </c>
      <c r="H736" s="5">
        <v>20</v>
      </c>
      <c r="I736" s="9">
        <v>1999</v>
      </c>
      <c r="J736" s="9">
        <f t="shared" si="11"/>
        <v>39980</v>
      </c>
      <c r="K736" t="s">
        <v>1379</v>
      </c>
      <c r="L736" t="s">
        <v>1384</v>
      </c>
    </row>
    <row r="737" spans="1:12" x14ac:dyDescent="0.25">
      <c r="A737" s="3">
        <v>45380</v>
      </c>
      <c r="B737" t="s">
        <v>846</v>
      </c>
      <c r="C737" t="s">
        <v>1245</v>
      </c>
      <c r="D737" t="s">
        <v>1344</v>
      </c>
      <c r="E737" t="s">
        <v>1347</v>
      </c>
      <c r="F737" t="s">
        <v>1352</v>
      </c>
      <c r="G737" t="s">
        <v>1364</v>
      </c>
      <c r="H737" s="5">
        <v>44</v>
      </c>
      <c r="I737" s="9">
        <v>999</v>
      </c>
      <c r="J737" s="9">
        <f t="shared" si="11"/>
        <v>43956</v>
      </c>
      <c r="K737" t="s">
        <v>1377</v>
      </c>
      <c r="L737" t="s">
        <v>1384</v>
      </c>
    </row>
    <row r="738" spans="1:12" x14ac:dyDescent="0.25">
      <c r="A738" s="3">
        <v>45481</v>
      </c>
      <c r="B738" t="s">
        <v>519</v>
      </c>
      <c r="C738" t="s">
        <v>1287</v>
      </c>
      <c r="D738" t="s">
        <v>1344</v>
      </c>
      <c r="E738" t="s">
        <v>1347</v>
      </c>
      <c r="F738" t="s">
        <v>1351</v>
      </c>
      <c r="G738" t="s">
        <v>1357</v>
      </c>
      <c r="H738" s="5">
        <v>25</v>
      </c>
      <c r="I738" s="9">
        <v>199</v>
      </c>
      <c r="J738" s="9">
        <f t="shared" si="11"/>
        <v>4975</v>
      </c>
      <c r="K738" t="s">
        <v>1379</v>
      </c>
      <c r="L738" t="s">
        <v>1380</v>
      </c>
    </row>
    <row r="739" spans="1:12" x14ac:dyDescent="0.25">
      <c r="A739" s="3">
        <v>45398</v>
      </c>
      <c r="B739" t="s">
        <v>505</v>
      </c>
      <c r="C739" t="s">
        <v>1112</v>
      </c>
      <c r="D739" t="s">
        <v>1344</v>
      </c>
      <c r="E739" t="s">
        <v>1349</v>
      </c>
      <c r="F739" t="s">
        <v>1353</v>
      </c>
      <c r="G739" t="s">
        <v>1365</v>
      </c>
      <c r="H739" s="5">
        <v>9</v>
      </c>
      <c r="I739" s="9">
        <v>999</v>
      </c>
      <c r="J739" s="9">
        <f t="shared" si="11"/>
        <v>8991</v>
      </c>
      <c r="K739" t="s">
        <v>1379</v>
      </c>
      <c r="L739" t="s">
        <v>1383</v>
      </c>
    </row>
    <row r="740" spans="1:12" x14ac:dyDescent="0.25">
      <c r="A740" s="3">
        <v>45475</v>
      </c>
      <c r="B740" t="s">
        <v>510</v>
      </c>
      <c r="C740" t="s">
        <v>1087</v>
      </c>
      <c r="D740" t="s">
        <v>1389</v>
      </c>
      <c r="E740" t="s">
        <v>1349</v>
      </c>
      <c r="F740" t="s">
        <v>1354</v>
      </c>
      <c r="G740" t="s">
        <v>1361</v>
      </c>
      <c r="H740" s="5">
        <v>5</v>
      </c>
      <c r="I740" s="9">
        <v>3499</v>
      </c>
      <c r="J740" s="9">
        <f t="shared" si="11"/>
        <v>17495</v>
      </c>
      <c r="K740" t="s">
        <v>1379</v>
      </c>
      <c r="L740" t="s">
        <v>1380</v>
      </c>
    </row>
    <row r="741" spans="1:12" x14ac:dyDescent="0.25">
      <c r="A741" s="3">
        <v>45433</v>
      </c>
      <c r="B741" t="s">
        <v>238</v>
      </c>
      <c r="C741" t="s">
        <v>1096</v>
      </c>
      <c r="D741" t="s">
        <v>1344</v>
      </c>
      <c r="E741" t="s">
        <v>1349</v>
      </c>
      <c r="F741" t="s">
        <v>1355</v>
      </c>
      <c r="G741" t="s">
        <v>1372</v>
      </c>
      <c r="H741" s="5">
        <v>2</v>
      </c>
      <c r="I741" s="9">
        <v>999</v>
      </c>
      <c r="J741" s="9">
        <f t="shared" si="11"/>
        <v>1998</v>
      </c>
      <c r="K741" t="s">
        <v>1378</v>
      </c>
      <c r="L741" t="s">
        <v>1384</v>
      </c>
    </row>
    <row r="742" spans="1:12" x14ac:dyDescent="0.25">
      <c r="A742" s="3">
        <v>45470</v>
      </c>
      <c r="B742" t="s">
        <v>526</v>
      </c>
      <c r="C742" t="s">
        <v>1151</v>
      </c>
      <c r="D742" t="s">
        <v>1389</v>
      </c>
      <c r="E742" t="s">
        <v>1348</v>
      </c>
      <c r="F742" t="s">
        <v>1352</v>
      </c>
      <c r="G742" t="s">
        <v>1364</v>
      </c>
      <c r="H742" s="5">
        <v>33</v>
      </c>
      <c r="I742" s="9">
        <v>2999</v>
      </c>
      <c r="J742" s="9">
        <f t="shared" si="11"/>
        <v>98967</v>
      </c>
      <c r="K742" t="s">
        <v>1379</v>
      </c>
      <c r="L742" t="s">
        <v>1381</v>
      </c>
    </row>
    <row r="743" spans="1:12" x14ac:dyDescent="0.25">
      <c r="A743" s="3">
        <v>45332</v>
      </c>
      <c r="B743" t="s">
        <v>963</v>
      </c>
      <c r="C743" t="s">
        <v>1096</v>
      </c>
      <c r="D743" t="s">
        <v>1389</v>
      </c>
      <c r="E743" t="s">
        <v>1349</v>
      </c>
      <c r="F743" t="s">
        <v>1351</v>
      </c>
      <c r="G743" t="s">
        <v>1356</v>
      </c>
      <c r="H743" s="5">
        <v>4</v>
      </c>
      <c r="I743" s="9">
        <v>3499</v>
      </c>
      <c r="J743" s="9">
        <f t="shared" si="11"/>
        <v>13996</v>
      </c>
      <c r="K743" t="s">
        <v>1379</v>
      </c>
      <c r="L743" t="s">
        <v>1381</v>
      </c>
    </row>
    <row r="744" spans="1:12" x14ac:dyDescent="0.25">
      <c r="A744" s="3">
        <v>45597</v>
      </c>
      <c r="B744" t="s">
        <v>94</v>
      </c>
      <c r="C744" t="s">
        <v>1094</v>
      </c>
      <c r="D744" t="s">
        <v>1345</v>
      </c>
      <c r="E744" t="s">
        <v>1347</v>
      </c>
      <c r="F744" t="s">
        <v>1353</v>
      </c>
      <c r="G744" t="s">
        <v>1369</v>
      </c>
      <c r="H744" s="5">
        <v>7</v>
      </c>
      <c r="I744" s="9">
        <v>199</v>
      </c>
      <c r="J744" s="9">
        <f t="shared" si="11"/>
        <v>1393</v>
      </c>
      <c r="K744" t="s">
        <v>1379</v>
      </c>
      <c r="L744" t="s">
        <v>1384</v>
      </c>
    </row>
    <row r="745" spans="1:12" x14ac:dyDescent="0.25">
      <c r="A745" s="3">
        <v>45441</v>
      </c>
      <c r="B745" t="s">
        <v>570</v>
      </c>
      <c r="C745" t="s">
        <v>1028</v>
      </c>
      <c r="D745" t="s">
        <v>1389</v>
      </c>
      <c r="E745" t="s">
        <v>1349</v>
      </c>
      <c r="F745" t="s">
        <v>1352</v>
      </c>
      <c r="G745" t="s">
        <v>1364</v>
      </c>
      <c r="H745" s="5">
        <v>16</v>
      </c>
      <c r="I745" s="9">
        <v>999</v>
      </c>
      <c r="J745" s="9">
        <f t="shared" si="11"/>
        <v>15984</v>
      </c>
      <c r="K745" t="s">
        <v>1377</v>
      </c>
      <c r="L745" t="s">
        <v>1381</v>
      </c>
    </row>
    <row r="746" spans="1:12" x14ac:dyDescent="0.25">
      <c r="A746" s="3">
        <v>45326</v>
      </c>
      <c r="B746" t="s">
        <v>960</v>
      </c>
      <c r="C746" t="s">
        <v>1088</v>
      </c>
      <c r="D746" t="s">
        <v>1389</v>
      </c>
      <c r="E746" t="s">
        <v>1350</v>
      </c>
      <c r="F746" t="s">
        <v>1354</v>
      </c>
      <c r="G746" t="s">
        <v>1361</v>
      </c>
      <c r="H746" s="5">
        <v>16</v>
      </c>
      <c r="I746" s="9">
        <v>199</v>
      </c>
      <c r="J746" s="9">
        <f t="shared" si="11"/>
        <v>3184</v>
      </c>
      <c r="K746" t="s">
        <v>1379</v>
      </c>
      <c r="L746" t="s">
        <v>1382</v>
      </c>
    </row>
    <row r="747" spans="1:12" x14ac:dyDescent="0.25">
      <c r="A747" s="3">
        <v>45403</v>
      </c>
      <c r="B747" t="s">
        <v>864</v>
      </c>
      <c r="C747" t="s">
        <v>1190</v>
      </c>
      <c r="D747" t="s">
        <v>1344</v>
      </c>
      <c r="E747" t="s">
        <v>1347</v>
      </c>
      <c r="F747" t="s">
        <v>1355</v>
      </c>
      <c r="G747" t="s">
        <v>1374</v>
      </c>
      <c r="H747" s="5">
        <v>18</v>
      </c>
      <c r="I747" s="9">
        <v>499</v>
      </c>
      <c r="J747" s="9">
        <f t="shared" si="11"/>
        <v>8982</v>
      </c>
      <c r="K747" t="s">
        <v>1377</v>
      </c>
      <c r="L747" t="s">
        <v>1382</v>
      </c>
    </row>
    <row r="748" spans="1:12" x14ac:dyDescent="0.25">
      <c r="A748" s="3">
        <v>45609</v>
      </c>
      <c r="B748" t="s">
        <v>1012</v>
      </c>
      <c r="C748" t="s">
        <v>1225</v>
      </c>
      <c r="D748" t="s">
        <v>1344</v>
      </c>
      <c r="E748" t="s">
        <v>1349</v>
      </c>
      <c r="F748" t="s">
        <v>1352</v>
      </c>
      <c r="G748" t="s">
        <v>1375</v>
      </c>
      <c r="H748" s="5">
        <v>37</v>
      </c>
      <c r="I748" s="9">
        <v>2999</v>
      </c>
      <c r="J748" s="9">
        <f t="shared" si="11"/>
        <v>110963</v>
      </c>
      <c r="K748" t="s">
        <v>1379</v>
      </c>
      <c r="L748" t="s">
        <v>1380</v>
      </c>
    </row>
    <row r="749" spans="1:12" x14ac:dyDescent="0.25">
      <c r="A749" s="3">
        <v>45358</v>
      </c>
      <c r="B749" t="s">
        <v>366</v>
      </c>
      <c r="C749" t="s">
        <v>1237</v>
      </c>
      <c r="D749" t="s">
        <v>1389</v>
      </c>
      <c r="E749" t="s">
        <v>1347</v>
      </c>
      <c r="F749" t="s">
        <v>1351</v>
      </c>
      <c r="G749" t="s">
        <v>1356</v>
      </c>
      <c r="H749" s="5">
        <v>5</v>
      </c>
      <c r="I749" s="9">
        <v>1878</v>
      </c>
      <c r="J749" s="9">
        <f t="shared" si="11"/>
        <v>9390</v>
      </c>
      <c r="K749" t="s">
        <v>1379</v>
      </c>
      <c r="L749" t="s">
        <v>1382</v>
      </c>
    </row>
    <row r="750" spans="1:12" x14ac:dyDescent="0.25">
      <c r="A750" s="3">
        <v>45413</v>
      </c>
      <c r="B750" t="s">
        <v>164</v>
      </c>
      <c r="C750" t="s">
        <v>1139</v>
      </c>
      <c r="D750" t="s">
        <v>1345</v>
      </c>
      <c r="E750" t="s">
        <v>1349</v>
      </c>
      <c r="F750" t="s">
        <v>1355</v>
      </c>
      <c r="G750" t="s">
        <v>1373</v>
      </c>
      <c r="H750" s="5">
        <v>28</v>
      </c>
      <c r="I750" s="9">
        <v>199</v>
      </c>
      <c r="J750" s="9">
        <f t="shared" si="11"/>
        <v>5572</v>
      </c>
      <c r="K750" t="s">
        <v>1379</v>
      </c>
      <c r="L750" t="s">
        <v>1382</v>
      </c>
    </row>
    <row r="751" spans="1:12" x14ac:dyDescent="0.25">
      <c r="A751" s="3">
        <v>45406</v>
      </c>
      <c r="B751" t="s">
        <v>102</v>
      </c>
      <c r="C751" t="s">
        <v>1086</v>
      </c>
      <c r="D751" t="s">
        <v>1345</v>
      </c>
      <c r="E751" t="s">
        <v>1347</v>
      </c>
      <c r="F751" t="s">
        <v>1354</v>
      </c>
      <c r="G751" t="s">
        <v>1366</v>
      </c>
      <c r="H751" s="5">
        <v>13</v>
      </c>
      <c r="I751" s="9">
        <v>3499</v>
      </c>
      <c r="J751" s="9">
        <f t="shared" si="11"/>
        <v>45487</v>
      </c>
      <c r="K751" t="s">
        <v>1377</v>
      </c>
      <c r="L751" t="s">
        <v>1384</v>
      </c>
    </row>
    <row r="752" spans="1:12" x14ac:dyDescent="0.25">
      <c r="A752" s="3">
        <v>45400</v>
      </c>
      <c r="B752" t="s">
        <v>448</v>
      </c>
      <c r="C752" t="s">
        <v>1211</v>
      </c>
      <c r="D752" t="s">
        <v>1344</v>
      </c>
      <c r="E752" t="s">
        <v>1347</v>
      </c>
      <c r="F752" t="s">
        <v>1354</v>
      </c>
      <c r="G752" t="s">
        <v>1362</v>
      </c>
      <c r="H752" s="5">
        <v>1</v>
      </c>
      <c r="I752" s="9">
        <v>1999</v>
      </c>
      <c r="J752" s="9">
        <f t="shared" si="11"/>
        <v>1999</v>
      </c>
      <c r="K752" t="s">
        <v>1379</v>
      </c>
      <c r="L752" t="s">
        <v>1381</v>
      </c>
    </row>
    <row r="753" spans="1:12" x14ac:dyDescent="0.25">
      <c r="A753" s="3">
        <v>45577</v>
      </c>
      <c r="B753" t="s">
        <v>372</v>
      </c>
      <c r="C753" t="s">
        <v>1220</v>
      </c>
      <c r="D753" t="s">
        <v>1344</v>
      </c>
      <c r="E753" t="s">
        <v>1349</v>
      </c>
      <c r="F753" t="s">
        <v>1352</v>
      </c>
      <c r="G753" t="s">
        <v>1358</v>
      </c>
      <c r="H753" s="5">
        <v>13</v>
      </c>
      <c r="I753" s="9">
        <v>499</v>
      </c>
      <c r="J753" s="9">
        <f t="shared" si="11"/>
        <v>6487</v>
      </c>
      <c r="K753" t="s">
        <v>1379</v>
      </c>
      <c r="L753" t="s">
        <v>1381</v>
      </c>
    </row>
    <row r="754" spans="1:12" x14ac:dyDescent="0.25">
      <c r="A754" s="3">
        <v>45639</v>
      </c>
      <c r="B754" t="s">
        <v>766</v>
      </c>
      <c r="C754" t="s">
        <v>1178</v>
      </c>
      <c r="D754" t="s">
        <v>1344</v>
      </c>
      <c r="E754" t="s">
        <v>1347</v>
      </c>
      <c r="F754" t="s">
        <v>1351</v>
      </c>
      <c r="G754" t="s">
        <v>1370</v>
      </c>
      <c r="H754" s="5">
        <v>41</v>
      </c>
      <c r="I754" s="9">
        <v>3499</v>
      </c>
      <c r="J754" s="9">
        <f t="shared" si="11"/>
        <v>143459</v>
      </c>
      <c r="K754" t="s">
        <v>1379</v>
      </c>
      <c r="L754" t="s">
        <v>1384</v>
      </c>
    </row>
    <row r="755" spans="1:12" x14ac:dyDescent="0.25">
      <c r="A755" s="3">
        <v>45514</v>
      </c>
      <c r="B755" t="s">
        <v>683</v>
      </c>
      <c r="C755" t="s">
        <v>1028</v>
      </c>
      <c r="D755" t="s">
        <v>1345</v>
      </c>
      <c r="E755" t="s">
        <v>1348</v>
      </c>
      <c r="F755" t="s">
        <v>1352</v>
      </c>
      <c r="G755" t="s">
        <v>1364</v>
      </c>
      <c r="H755" s="5">
        <v>44</v>
      </c>
      <c r="I755" s="9">
        <v>3499</v>
      </c>
      <c r="J755" s="9">
        <f t="shared" si="11"/>
        <v>153956</v>
      </c>
      <c r="K755" t="s">
        <v>1379</v>
      </c>
      <c r="L755" t="s">
        <v>1382</v>
      </c>
    </row>
    <row r="756" spans="1:12" x14ac:dyDescent="0.25">
      <c r="A756" s="3">
        <v>45314</v>
      </c>
      <c r="B756" t="s">
        <v>233</v>
      </c>
      <c r="C756" t="s">
        <v>1055</v>
      </c>
      <c r="D756" t="s">
        <v>1389</v>
      </c>
      <c r="E756" t="s">
        <v>1350</v>
      </c>
      <c r="F756" t="s">
        <v>1354</v>
      </c>
      <c r="G756" t="s">
        <v>1361</v>
      </c>
      <c r="H756" s="5">
        <v>41</v>
      </c>
      <c r="I756" s="9">
        <v>1749</v>
      </c>
      <c r="J756" s="9">
        <f t="shared" si="11"/>
        <v>71709</v>
      </c>
      <c r="K756" t="s">
        <v>1377</v>
      </c>
      <c r="L756" t="s">
        <v>1380</v>
      </c>
    </row>
    <row r="757" spans="1:12" x14ac:dyDescent="0.25">
      <c r="A757" s="3">
        <v>45522</v>
      </c>
      <c r="B757" t="s">
        <v>87</v>
      </c>
      <c r="C757" t="s">
        <v>1089</v>
      </c>
      <c r="D757" t="s">
        <v>1345</v>
      </c>
      <c r="E757" t="s">
        <v>1346</v>
      </c>
      <c r="F757" t="s">
        <v>1354</v>
      </c>
      <c r="G757" t="s">
        <v>1361</v>
      </c>
      <c r="H757" s="5">
        <v>10</v>
      </c>
      <c r="I757" s="9">
        <v>1749</v>
      </c>
      <c r="J757" s="9">
        <f t="shared" si="11"/>
        <v>17490</v>
      </c>
      <c r="K757" t="s">
        <v>1377</v>
      </c>
      <c r="L757" t="s">
        <v>1380</v>
      </c>
    </row>
    <row r="758" spans="1:12" x14ac:dyDescent="0.25">
      <c r="A758" s="3">
        <v>45360</v>
      </c>
      <c r="B758" t="s">
        <v>407</v>
      </c>
      <c r="C758" t="s">
        <v>1254</v>
      </c>
      <c r="D758" t="s">
        <v>1345</v>
      </c>
      <c r="E758" t="s">
        <v>1349</v>
      </c>
      <c r="F758" t="s">
        <v>1354</v>
      </c>
      <c r="G758" t="s">
        <v>1362</v>
      </c>
      <c r="H758" s="5">
        <v>49</v>
      </c>
      <c r="I758" s="9">
        <v>499</v>
      </c>
      <c r="J758" s="9">
        <f t="shared" si="11"/>
        <v>24451</v>
      </c>
      <c r="K758" t="s">
        <v>1379</v>
      </c>
      <c r="L758" t="s">
        <v>1380</v>
      </c>
    </row>
    <row r="759" spans="1:12" x14ac:dyDescent="0.25">
      <c r="A759" s="3">
        <v>45570</v>
      </c>
      <c r="B759" t="s">
        <v>736</v>
      </c>
      <c r="C759" t="s">
        <v>1081</v>
      </c>
      <c r="D759" t="s">
        <v>1345</v>
      </c>
      <c r="E759" t="s">
        <v>1347</v>
      </c>
      <c r="F759" t="s">
        <v>1353</v>
      </c>
      <c r="G759" t="s">
        <v>1369</v>
      </c>
      <c r="H759" s="5">
        <v>3</v>
      </c>
      <c r="I759" s="9">
        <v>3499</v>
      </c>
      <c r="J759" s="9">
        <f t="shared" si="11"/>
        <v>10497</v>
      </c>
      <c r="K759" t="s">
        <v>1379</v>
      </c>
      <c r="L759" t="s">
        <v>1382</v>
      </c>
    </row>
    <row r="760" spans="1:12" x14ac:dyDescent="0.25">
      <c r="A760" s="3">
        <v>45379</v>
      </c>
      <c r="B760" t="s">
        <v>207</v>
      </c>
      <c r="C760" t="s">
        <v>1036</v>
      </c>
      <c r="D760" t="s">
        <v>1345</v>
      </c>
      <c r="E760" t="s">
        <v>1350</v>
      </c>
      <c r="F760" t="s">
        <v>1353</v>
      </c>
      <c r="G760" t="s">
        <v>1369</v>
      </c>
      <c r="H760" s="5">
        <v>12</v>
      </c>
      <c r="I760" s="9">
        <v>999</v>
      </c>
      <c r="J760" s="9">
        <f t="shared" si="11"/>
        <v>11988</v>
      </c>
      <c r="K760" t="s">
        <v>1379</v>
      </c>
      <c r="L760" t="s">
        <v>1382</v>
      </c>
    </row>
    <row r="761" spans="1:12" x14ac:dyDescent="0.25">
      <c r="A761" s="3">
        <v>45499</v>
      </c>
      <c r="B761" t="s">
        <v>264</v>
      </c>
      <c r="C761" t="s">
        <v>1193</v>
      </c>
      <c r="D761" t="s">
        <v>1344</v>
      </c>
      <c r="E761" t="s">
        <v>1349</v>
      </c>
      <c r="F761" t="s">
        <v>1353</v>
      </c>
      <c r="G761" t="s">
        <v>1369</v>
      </c>
      <c r="H761" s="5">
        <v>33</v>
      </c>
      <c r="I761" s="9">
        <v>2499</v>
      </c>
      <c r="J761" s="9">
        <f t="shared" si="11"/>
        <v>82467</v>
      </c>
      <c r="K761" t="s">
        <v>1379</v>
      </c>
      <c r="L761" t="s">
        <v>1380</v>
      </c>
    </row>
    <row r="762" spans="1:12" x14ac:dyDescent="0.25">
      <c r="A762" s="3">
        <v>45471</v>
      </c>
      <c r="B762" t="s">
        <v>774</v>
      </c>
      <c r="C762" t="s">
        <v>1324</v>
      </c>
      <c r="D762" t="s">
        <v>1345</v>
      </c>
      <c r="E762" t="s">
        <v>1349</v>
      </c>
      <c r="F762" t="s">
        <v>1354</v>
      </c>
      <c r="G762" t="s">
        <v>1366</v>
      </c>
      <c r="H762" s="5">
        <v>0</v>
      </c>
      <c r="I762" s="9">
        <v>3499</v>
      </c>
      <c r="J762" s="9">
        <f t="shared" si="11"/>
        <v>0</v>
      </c>
      <c r="K762" t="s">
        <v>1377</v>
      </c>
      <c r="L762" t="s">
        <v>1380</v>
      </c>
    </row>
    <row r="763" spans="1:12" x14ac:dyDescent="0.25">
      <c r="A763" s="3">
        <v>45326</v>
      </c>
      <c r="B763" t="s">
        <v>521</v>
      </c>
      <c r="C763" t="s">
        <v>1230</v>
      </c>
      <c r="D763" t="s">
        <v>1345</v>
      </c>
      <c r="E763" t="s">
        <v>1349</v>
      </c>
      <c r="F763" t="s">
        <v>1354</v>
      </c>
      <c r="G763" t="s">
        <v>1366</v>
      </c>
      <c r="H763" s="5">
        <v>4</v>
      </c>
      <c r="I763" s="9">
        <v>1999</v>
      </c>
      <c r="J763" s="9">
        <f t="shared" si="11"/>
        <v>7996</v>
      </c>
      <c r="K763" t="s">
        <v>1379</v>
      </c>
      <c r="L763" t="s">
        <v>1382</v>
      </c>
    </row>
    <row r="764" spans="1:12" x14ac:dyDescent="0.25">
      <c r="A764" s="3">
        <v>45550</v>
      </c>
      <c r="B764" t="s">
        <v>631</v>
      </c>
      <c r="C764" t="s">
        <v>1104</v>
      </c>
      <c r="D764" t="s">
        <v>1389</v>
      </c>
      <c r="E764" t="s">
        <v>1349</v>
      </c>
      <c r="F764" t="s">
        <v>1354</v>
      </c>
      <c r="G764" t="s">
        <v>1363</v>
      </c>
      <c r="H764" s="5">
        <v>0</v>
      </c>
      <c r="I764" s="9">
        <v>199</v>
      </c>
      <c r="J764" s="9">
        <f t="shared" si="11"/>
        <v>0</v>
      </c>
      <c r="K764" t="s">
        <v>1376</v>
      </c>
      <c r="L764" t="s">
        <v>1381</v>
      </c>
    </row>
    <row r="765" spans="1:12" x14ac:dyDescent="0.25">
      <c r="A765" s="3">
        <v>45589</v>
      </c>
      <c r="B765" t="s">
        <v>414</v>
      </c>
      <c r="C765" t="s">
        <v>1098</v>
      </c>
      <c r="D765" t="s">
        <v>1389</v>
      </c>
      <c r="E765" t="s">
        <v>1349</v>
      </c>
      <c r="F765" t="s">
        <v>1354</v>
      </c>
      <c r="G765" t="s">
        <v>1362</v>
      </c>
      <c r="H765" s="5">
        <v>18</v>
      </c>
      <c r="I765" s="9">
        <v>999</v>
      </c>
      <c r="J765" s="9">
        <f t="shared" si="11"/>
        <v>17982</v>
      </c>
      <c r="K765" t="s">
        <v>1379</v>
      </c>
      <c r="L765" t="s">
        <v>1380</v>
      </c>
    </row>
    <row r="766" spans="1:12" x14ac:dyDescent="0.25">
      <c r="A766" s="3">
        <v>45409</v>
      </c>
      <c r="B766" t="s">
        <v>195</v>
      </c>
      <c r="C766" t="s">
        <v>1157</v>
      </c>
      <c r="D766" t="s">
        <v>1345</v>
      </c>
      <c r="E766" t="s">
        <v>1349</v>
      </c>
      <c r="F766" t="s">
        <v>1355</v>
      </c>
      <c r="G766" t="s">
        <v>1360</v>
      </c>
      <c r="H766" s="5">
        <v>3</v>
      </c>
      <c r="I766" s="9">
        <v>1838</v>
      </c>
      <c r="J766" s="9">
        <f t="shared" si="11"/>
        <v>5514</v>
      </c>
      <c r="K766" t="s">
        <v>1379</v>
      </c>
      <c r="L766" t="s">
        <v>1380</v>
      </c>
    </row>
    <row r="767" spans="1:12" x14ac:dyDescent="0.25">
      <c r="A767" s="3">
        <v>45316</v>
      </c>
      <c r="B767" t="s">
        <v>497</v>
      </c>
      <c r="C767" t="s">
        <v>1049</v>
      </c>
      <c r="D767" t="s">
        <v>1345</v>
      </c>
      <c r="E767" t="s">
        <v>1348</v>
      </c>
      <c r="F767" t="s">
        <v>1354</v>
      </c>
      <c r="G767" t="s">
        <v>1362</v>
      </c>
      <c r="H767" s="5">
        <v>27</v>
      </c>
      <c r="I767" s="9">
        <v>1499</v>
      </c>
      <c r="J767" s="9">
        <f t="shared" si="11"/>
        <v>40473</v>
      </c>
      <c r="K767" t="s">
        <v>1379</v>
      </c>
      <c r="L767" t="s">
        <v>1380</v>
      </c>
    </row>
    <row r="768" spans="1:12" x14ac:dyDescent="0.25">
      <c r="A768" s="3">
        <v>45608</v>
      </c>
      <c r="B768" t="s">
        <v>799</v>
      </c>
      <c r="C768" t="s">
        <v>1132</v>
      </c>
      <c r="D768" t="s">
        <v>1345</v>
      </c>
      <c r="E768" t="s">
        <v>1347</v>
      </c>
      <c r="F768" t="s">
        <v>1352</v>
      </c>
      <c r="G768" t="s">
        <v>1368</v>
      </c>
      <c r="H768" s="5">
        <v>15</v>
      </c>
      <c r="I768" s="9">
        <v>499</v>
      </c>
      <c r="J768" s="9">
        <f t="shared" si="11"/>
        <v>7485</v>
      </c>
      <c r="K768" t="s">
        <v>1379</v>
      </c>
      <c r="L768" t="s">
        <v>1384</v>
      </c>
    </row>
    <row r="769" spans="1:12" x14ac:dyDescent="0.25">
      <c r="A769" s="3">
        <v>45643</v>
      </c>
      <c r="B769" t="s">
        <v>999</v>
      </c>
      <c r="C769" t="s">
        <v>1232</v>
      </c>
      <c r="D769" t="s">
        <v>1345</v>
      </c>
      <c r="E769" t="s">
        <v>1349</v>
      </c>
      <c r="F769" t="s">
        <v>1351</v>
      </c>
      <c r="G769" t="s">
        <v>1356</v>
      </c>
      <c r="H769" s="5">
        <v>49</v>
      </c>
      <c r="I769" s="9">
        <v>1878</v>
      </c>
      <c r="J769" s="9">
        <f t="shared" si="11"/>
        <v>92022</v>
      </c>
      <c r="K769" t="s">
        <v>1376</v>
      </c>
      <c r="L769" t="s">
        <v>1382</v>
      </c>
    </row>
    <row r="770" spans="1:12" x14ac:dyDescent="0.25">
      <c r="A770" s="3">
        <v>45446</v>
      </c>
      <c r="B770" t="s">
        <v>981</v>
      </c>
      <c r="C770" t="s">
        <v>1132</v>
      </c>
      <c r="D770" t="s">
        <v>1344</v>
      </c>
      <c r="E770" t="s">
        <v>1348</v>
      </c>
      <c r="F770" t="s">
        <v>1353</v>
      </c>
      <c r="G770" t="s">
        <v>1359</v>
      </c>
      <c r="H770" s="5">
        <v>10</v>
      </c>
      <c r="I770" s="9">
        <v>1845</v>
      </c>
      <c r="J770" s="9">
        <f t="shared" ref="J770:J833" si="12">H770*I770</f>
        <v>18450</v>
      </c>
      <c r="K770" t="s">
        <v>1379</v>
      </c>
      <c r="L770" t="s">
        <v>1380</v>
      </c>
    </row>
    <row r="771" spans="1:12" x14ac:dyDescent="0.25">
      <c r="A771" s="3">
        <v>45594</v>
      </c>
      <c r="B771" t="s">
        <v>758</v>
      </c>
      <c r="C771" t="s">
        <v>1048</v>
      </c>
      <c r="D771" t="s">
        <v>1344</v>
      </c>
      <c r="E771" t="s">
        <v>1348</v>
      </c>
      <c r="F771" t="s">
        <v>1354</v>
      </c>
      <c r="G771" t="s">
        <v>1366</v>
      </c>
      <c r="H771" s="5">
        <v>5</v>
      </c>
      <c r="I771" s="9">
        <v>3499</v>
      </c>
      <c r="J771" s="9">
        <f t="shared" si="12"/>
        <v>17495</v>
      </c>
      <c r="K771" t="s">
        <v>1376</v>
      </c>
      <c r="L771" t="s">
        <v>1382</v>
      </c>
    </row>
    <row r="772" spans="1:12" x14ac:dyDescent="0.25">
      <c r="A772" s="3">
        <v>45580</v>
      </c>
      <c r="B772" t="s">
        <v>405</v>
      </c>
      <c r="C772" t="s">
        <v>1253</v>
      </c>
      <c r="D772" t="s">
        <v>1345</v>
      </c>
      <c r="E772" t="s">
        <v>1349</v>
      </c>
      <c r="F772" t="s">
        <v>1355</v>
      </c>
      <c r="G772" t="s">
        <v>1373</v>
      </c>
      <c r="H772" s="5">
        <v>7</v>
      </c>
      <c r="I772" s="9">
        <v>1999</v>
      </c>
      <c r="J772" s="9">
        <f t="shared" si="12"/>
        <v>13993</v>
      </c>
      <c r="K772" t="s">
        <v>1379</v>
      </c>
      <c r="L772" t="s">
        <v>1380</v>
      </c>
    </row>
    <row r="773" spans="1:12" x14ac:dyDescent="0.25">
      <c r="A773" s="3">
        <v>45328</v>
      </c>
      <c r="B773" t="s">
        <v>710</v>
      </c>
      <c r="C773" t="s">
        <v>1140</v>
      </c>
      <c r="D773" t="s">
        <v>1344</v>
      </c>
      <c r="E773" t="s">
        <v>1347</v>
      </c>
      <c r="F773" t="s">
        <v>1351</v>
      </c>
      <c r="G773" t="s">
        <v>1371</v>
      </c>
      <c r="H773" s="5">
        <v>5</v>
      </c>
      <c r="I773" s="9">
        <v>2999</v>
      </c>
      <c r="J773" s="9">
        <f t="shared" si="12"/>
        <v>14995</v>
      </c>
      <c r="K773" t="s">
        <v>1379</v>
      </c>
      <c r="L773" t="s">
        <v>1384</v>
      </c>
    </row>
    <row r="774" spans="1:12" x14ac:dyDescent="0.25">
      <c r="A774" s="3">
        <v>45559</v>
      </c>
      <c r="B774" t="s">
        <v>859</v>
      </c>
      <c r="C774" t="s">
        <v>1062</v>
      </c>
      <c r="D774" t="s">
        <v>1389</v>
      </c>
      <c r="E774" t="s">
        <v>1348</v>
      </c>
      <c r="F774" t="s">
        <v>1355</v>
      </c>
      <c r="G774" t="s">
        <v>1374</v>
      </c>
      <c r="H774" s="5">
        <v>18</v>
      </c>
      <c r="I774" s="9">
        <v>1999</v>
      </c>
      <c r="J774" s="9">
        <f t="shared" si="12"/>
        <v>35982</v>
      </c>
      <c r="K774" t="s">
        <v>1379</v>
      </c>
      <c r="L774" t="s">
        <v>1384</v>
      </c>
    </row>
    <row r="775" spans="1:12" x14ac:dyDescent="0.25">
      <c r="A775" s="3">
        <v>45532</v>
      </c>
      <c r="B775" t="s">
        <v>842</v>
      </c>
      <c r="C775" t="s">
        <v>1086</v>
      </c>
      <c r="D775" t="s">
        <v>1345</v>
      </c>
      <c r="E775" t="s">
        <v>1350</v>
      </c>
      <c r="F775" t="s">
        <v>1352</v>
      </c>
      <c r="G775" t="s">
        <v>1358</v>
      </c>
      <c r="H775" s="5">
        <v>6</v>
      </c>
      <c r="I775" s="9">
        <v>1999</v>
      </c>
      <c r="J775" s="9">
        <f t="shared" si="12"/>
        <v>11994</v>
      </c>
      <c r="K775" t="s">
        <v>1378</v>
      </c>
      <c r="L775" t="s">
        <v>1382</v>
      </c>
    </row>
    <row r="776" spans="1:12" x14ac:dyDescent="0.25">
      <c r="A776" s="3">
        <v>45471</v>
      </c>
      <c r="B776" t="s">
        <v>202</v>
      </c>
      <c r="C776" t="s">
        <v>1108</v>
      </c>
      <c r="D776" t="s">
        <v>1345</v>
      </c>
      <c r="E776" t="s">
        <v>1347</v>
      </c>
      <c r="F776" t="s">
        <v>1352</v>
      </c>
      <c r="G776" t="s">
        <v>1375</v>
      </c>
      <c r="H776" s="5">
        <v>43</v>
      </c>
      <c r="I776" s="9">
        <v>2499</v>
      </c>
      <c r="J776" s="9">
        <f t="shared" si="12"/>
        <v>107457</v>
      </c>
      <c r="K776" t="s">
        <v>1377</v>
      </c>
      <c r="L776" t="s">
        <v>1380</v>
      </c>
    </row>
    <row r="777" spans="1:12" x14ac:dyDescent="0.25">
      <c r="A777" s="3">
        <v>45522</v>
      </c>
      <c r="B777" t="s">
        <v>764</v>
      </c>
      <c r="C777" t="s">
        <v>1290</v>
      </c>
      <c r="D777" t="s">
        <v>1345</v>
      </c>
      <c r="E777" t="s">
        <v>1347</v>
      </c>
      <c r="F777" t="s">
        <v>1355</v>
      </c>
      <c r="G777" t="s">
        <v>1373</v>
      </c>
      <c r="H777" s="5">
        <v>4</v>
      </c>
      <c r="I777" s="9">
        <v>2999</v>
      </c>
      <c r="J777" s="9">
        <f t="shared" si="12"/>
        <v>11996</v>
      </c>
      <c r="K777" t="s">
        <v>1378</v>
      </c>
      <c r="L777" t="s">
        <v>1382</v>
      </c>
    </row>
    <row r="778" spans="1:12" x14ac:dyDescent="0.25">
      <c r="A778" s="3">
        <v>45434</v>
      </c>
      <c r="B778" t="s">
        <v>351</v>
      </c>
      <c r="C778" t="s">
        <v>1231</v>
      </c>
      <c r="D778" t="s">
        <v>1344</v>
      </c>
      <c r="E778" t="s">
        <v>1349</v>
      </c>
      <c r="F778" t="s">
        <v>1354</v>
      </c>
      <c r="G778" t="s">
        <v>1363</v>
      </c>
      <c r="H778" s="5">
        <v>9</v>
      </c>
      <c r="I778" s="9">
        <v>199</v>
      </c>
      <c r="J778" s="9">
        <f t="shared" si="12"/>
        <v>1791</v>
      </c>
      <c r="K778" t="s">
        <v>1377</v>
      </c>
      <c r="L778" t="s">
        <v>1380</v>
      </c>
    </row>
    <row r="779" spans="1:12" x14ac:dyDescent="0.25">
      <c r="A779" s="3">
        <v>45392</v>
      </c>
      <c r="B779" t="s">
        <v>891</v>
      </c>
      <c r="C779" t="s">
        <v>1129</v>
      </c>
      <c r="D779" t="s">
        <v>1345</v>
      </c>
      <c r="E779" t="s">
        <v>1349</v>
      </c>
      <c r="F779" t="s">
        <v>1353</v>
      </c>
      <c r="G779" t="s">
        <v>1367</v>
      </c>
      <c r="H779" s="5">
        <v>21</v>
      </c>
      <c r="I779" s="9">
        <v>1999</v>
      </c>
      <c r="J779" s="9">
        <f t="shared" si="12"/>
        <v>41979</v>
      </c>
      <c r="K779" t="s">
        <v>1377</v>
      </c>
      <c r="L779" t="s">
        <v>1380</v>
      </c>
    </row>
    <row r="780" spans="1:12" x14ac:dyDescent="0.25">
      <c r="A780" s="3">
        <v>45598</v>
      </c>
      <c r="B780" t="s">
        <v>347</v>
      </c>
      <c r="C780" t="s">
        <v>1229</v>
      </c>
      <c r="D780" t="s">
        <v>1345</v>
      </c>
      <c r="E780" t="s">
        <v>1348</v>
      </c>
      <c r="F780" t="s">
        <v>1353</v>
      </c>
      <c r="G780" t="s">
        <v>1359</v>
      </c>
      <c r="H780" s="5">
        <v>48</v>
      </c>
      <c r="I780" s="9">
        <v>499</v>
      </c>
      <c r="J780" s="9">
        <f t="shared" si="12"/>
        <v>23952</v>
      </c>
      <c r="K780" t="s">
        <v>1376</v>
      </c>
      <c r="L780" t="s">
        <v>1382</v>
      </c>
    </row>
    <row r="781" spans="1:12" x14ac:dyDescent="0.25">
      <c r="A781" s="3">
        <v>45338</v>
      </c>
      <c r="B781" t="s">
        <v>779</v>
      </c>
      <c r="C781" t="s">
        <v>1108</v>
      </c>
      <c r="D781" t="s">
        <v>1344</v>
      </c>
      <c r="E781" t="s">
        <v>1349</v>
      </c>
      <c r="F781" t="s">
        <v>1351</v>
      </c>
      <c r="G781" t="s">
        <v>1371</v>
      </c>
      <c r="H781" s="5">
        <v>16</v>
      </c>
      <c r="I781" s="9">
        <v>1878</v>
      </c>
      <c r="J781" s="9">
        <f t="shared" si="12"/>
        <v>30048</v>
      </c>
      <c r="K781" t="s">
        <v>1379</v>
      </c>
      <c r="L781" t="s">
        <v>1384</v>
      </c>
    </row>
    <row r="782" spans="1:12" x14ac:dyDescent="0.25">
      <c r="A782" s="3">
        <v>45529</v>
      </c>
      <c r="B782" t="s">
        <v>444</v>
      </c>
      <c r="C782" t="s">
        <v>1133</v>
      </c>
      <c r="D782" t="s">
        <v>1344</v>
      </c>
      <c r="E782" t="s">
        <v>1348</v>
      </c>
      <c r="F782" t="s">
        <v>1352</v>
      </c>
      <c r="G782" t="s">
        <v>1358</v>
      </c>
      <c r="H782" s="5">
        <v>5</v>
      </c>
      <c r="I782" s="9">
        <v>1624</v>
      </c>
      <c r="J782" s="9">
        <f t="shared" si="12"/>
        <v>8120</v>
      </c>
      <c r="K782" t="s">
        <v>1379</v>
      </c>
      <c r="L782" t="s">
        <v>1382</v>
      </c>
    </row>
    <row r="783" spans="1:12" x14ac:dyDescent="0.25">
      <c r="A783" s="3">
        <v>45524</v>
      </c>
      <c r="B783" t="s">
        <v>820</v>
      </c>
      <c r="C783" t="s">
        <v>1314</v>
      </c>
      <c r="D783" t="s">
        <v>1389</v>
      </c>
      <c r="E783" t="s">
        <v>1349</v>
      </c>
      <c r="F783" t="s">
        <v>1351</v>
      </c>
      <c r="G783" t="s">
        <v>1370</v>
      </c>
      <c r="H783" s="5">
        <v>18</v>
      </c>
      <c r="I783" s="9">
        <v>2999</v>
      </c>
      <c r="J783" s="9">
        <f t="shared" si="12"/>
        <v>53982</v>
      </c>
      <c r="K783" t="s">
        <v>1379</v>
      </c>
      <c r="L783" t="s">
        <v>1382</v>
      </c>
    </row>
    <row r="784" spans="1:12" x14ac:dyDescent="0.25">
      <c r="A784" s="3">
        <v>45519</v>
      </c>
      <c r="B784" t="s">
        <v>501</v>
      </c>
      <c r="C784" t="s">
        <v>1278</v>
      </c>
      <c r="D784" t="s">
        <v>1389</v>
      </c>
      <c r="E784" t="s">
        <v>1349</v>
      </c>
      <c r="F784" t="s">
        <v>1355</v>
      </c>
      <c r="G784" t="s">
        <v>1374</v>
      </c>
      <c r="H784" s="5">
        <v>33</v>
      </c>
      <c r="I784" s="9">
        <v>1838</v>
      </c>
      <c r="J784" s="9">
        <f t="shared" si="12"/>
        <v>60654</v>
      </c>
      <c r="K784" t="s">
        <v>1379</v>
      </c>
      <c r="L784" t="s">
        <v>1380</v>
      </c>
    </row>
    <row r="785" spans="1:12" x14ac:dyDescent="0.25">
      <c r="A785" s="3">
        <v>45360</v>
      </c>
      <c r="B785" t="s">
        <v>691</v>
      </c>
      <c r="C785" t="s">
        <v>1211</v>
      </c>
      <c r="D785" t="s">
        <v>1344</v>
      </c>
      <c r="E785" t="s">
        <v>1349</v>
      </c>
      <c r="F785" t="s">
        <v>1351</v>
      </c>
      <c r="G785" t="s">
        <v>1370</v>
      </c>
      <c r="H785" s="5">
        <v>13</v>
      </c>
      <c r="I785" s="9">
        <v>1999</v>
      </c>
      <c r="J785" s="9">
        <f t="shared" si="12"/>
        <v>25987</v>
      </c>
      <c r="K785" t="s">
        <v>1378</v>
      </c>
      <c r="L785" t="s">
        <v>1384</v>
      </c>
    </row>
    <row r="786" spans="1:12" x14ac:dyDescent="0.25">
      <c r="A786" s="3">
        <v>45639</v>
      </c>
      <c r="B786" t="s">
        <v>511</v>
      </c>
      <c r="C786" t="s">
        <v>1212</v>
      </c>
      <c r="D786" t="s">
        <v>1344</v>
      </c>
      <c r="E786" t="s">
        <v>1348</v>
      </c>
      <c r="F786" t="s">
        <v>1354</v>
      </c>
      <c r="G786" t="s">
        <v>1361</v>
      </c>
      <c r="H786" s="5">
        <v>16</v>
      </c>
      <c r="I786" s="9">
        <v>1499</v>
      </c>
      <c r="J786" s="9">
        <f t="shared" si="12"/>
        <v>23984</v>
      </c>
      <c r="K786" t="s">
        <v>1379</v>
      </c>
      <c r="L786" t="s">
        <v>1382</v>
      </c>
    </row>
    <row r="787" spans="1:12" x14ac:dyDescent="0.25">
      <c r="A787" s="3">
        <v>45335</v>
      </c>
      <c r="B787" t="s">
        <v>995</v>
      </c>
      <c r="C787" t="s">
        <v>1343</v>
      </c>
      <c r="D787" t="s">
        <v>1389</v>
      </c>
      <c r="E787" t="s">
        <v>1349</v>
      </c>
      <c r="F787" t="s">
        <v>1354</v>
      </c>
      <c r="G787" t="s">
        <v>1361</v>
      </c>
      <c r="H787" s="5">
        <v>37</v>
      </c>
      <c r="I787" s="9">
        <v>3499</v>
      </c>
      <c r="J787" s="9">
        <f t="shared" si="12"/>
        <v>129463</v>
      </c>
      <c r="K787" t="s">
        <v>1377</v>
      </c>
      <c r="L787" t="s">
        <v>1382</v>
      </c>
    </row>
    <row r="788" spans="1:12" x14ac:dyDescent="0.25">
      <c r="A788" s="3">
        <v>45416</v>
      </c>
      <c r="B788" t="s">
        <v>268</v>
      </c>
      <c r="C788" t="s">
        <v>1119</v>
      </c>
      <c r="D788" t="s">
        <v>1345</v>
      </c>
      <c r="E788" t="s">
        <v>1346</v>
      </c>
      <c r="F788" t="s">
        <v>1354</v>
      </c>
      <c r="G788" t="s">
        <v>1366</v>
      </c>
      <c r="H788" s="5">
        <v>43</v>
      </c>
      <c r="I788" s="9">
        <v>1499</v>
      </c>
      <c r="J788" s="9">
        <f t="shared" si="12"/>
        <v>64457</v>
      </c>
      <c r="K788" t="s">
        <v>1378</v>
      </c>
      <c r="L788" t="s">
        <v>1384</v>
      </c>
    </row>
    <row r="789" spans="1:12" x14ac:dyDescent="0.25">
      <c r="A789" s="3">
        <v>45520</v>
      </c>
      <c r="B789" t="s">
        <v>31</v>
      </c>
      <c r="C789" t="s">
        <v>1041</v>
      </c>
      <c r="D789" t="s">
        <v>1389</v>
      </c>
      <c r="E789" t="s">
        <v>1350</v>
      </c>
      <c r="F789" t="s">
        <v>1352</v>
      </c>
      <c r="G789" t="s">
        <v>1368</v>
      </c>
      <c r="H789" s="5">
        <v>25</v>
      </c>
      <c r="I789" s="9">
        <v>499</v>
      </c>
      <c r="J789" s="9">
        <f t="shared" si="12"/>
        <v>12475</v>
      </c>
      <c r="K789" t="s">
        <v>1379</v>
      </c>
      <c r="L789" t="s">
        <v>1383</v>
      </c>
    </row>
    <row r="790" spans="1:12" x14ac:dyDescent="0.25">
      <c r="A790" s="3">
        <v>45543</v>
      </c>
      <c r="B790" t="s">
        <v>586</v>
      </c>
      <c r="C790" t="s">
        <v>1089</v>
      </c>
      <c r="D790" t="s">
        <v>1389</v>
      </c>
      <c r="E790" t="s">
        <v>1347</v>
      </c>
      <c r="F790" t="s">
        <v>1354</v>
      </c>
      <c r="G790" t="s">
        <v>1361</v>
      </c>
      <c r="H790" s="5">
        <v>37</v>
      </c>
      <c r="I790" s="9">
        <v>1999</v>
      </c>
      <c r="J790" s="9">
        <f t="shared" si="12"/>
        <v>73963</v>
      </c>
      <c r="K790" t="s">
        <v>1376</v>
      </c>
      <c r="L790" t="s">
        <v>1384</v>
      </c>
    </row>
    <row r="791" spans="1:12" x14ac:dyDescent="0.25">
      <c r="A791" s="3">
        <v>45402</v>
      </c>
      <c r="B791" t="s">
        <v>504</v>
      </c>
      <c r="C791" t="s">
        <v>1109</v>
      </c>
      <c r="D791" t="s">
        <v>1389</v>
      </c>
      <c r="E791" t="s">
        <v>1346</v>
      </c>
      <c r="F791" t="s">
        <v>1353</v>
      </c>
      <c r="G791" t="s">
        <v>1359</v>
      </c>
      <c r="H791" s="5">
        <v>46</v>
      </c>
      <c r="I791" s="9">
        <v>1845</v>
      </c>
      <c r="J791" s="9">
        <f t="shared" si="12"/>
        <v>84870</v>
      </c>
      <c r="K791" t="s">
        <v>1378</v>
      </c>
      <c r="L791" t="s">
        <v>1382</v>
      </c>
    </row>
    <row r="792" spans="1:12" x14ac:dyDescent="0.25">
      <c r="A792" s="3">
        <v>45608</v>
      </c>
      <c r="B792" t="s">
        <v>411</v>
      </c>
      <c r="C792" t="s">
        <v>1113</v>
      </c>
      <c r="D792" t="s">
        <v>1345</v>
      </c>
      <c r="E792" t="s">
        <v>1350</v>
      </c>
      <c r="F792" t="s">
        <v>1352</v>
      </c>
      <c r="G792" t="s">
        <v>1375</v>
      </c>
      <c r="H792" s="5">
        <v>38</v>
      </c>
      <c r="I792" s="9">
        <v>3499</v>
      </c>
      <c r="J792" s="9">
        <f t="shared" si="12"/>
        <v>132962</v>
      </c>
      <c r="K792" t="s">
        <v>1377</v>
      </c>
      <c r="L792" t="s">
        <v>1384</v>
      </c>
    </row>
    <row r="793" spans="1:12" x14ac:dyDescent="0.25">
      <c r="A793" s="3">
        <v>45488</v>
      </c>
      <c r="B793" t="s">
        <v>541</v>
      </c>
      <c r="C793" t="s">
        <v>1291</v>
      </c>
      <c r="D793" t="s">
        <v>1344</v>
      </c>
      <c r="E793" t="s">
        <v>1350</v>
      </c>
      <c r="F793" t="s">
        <v>1354</v>
      </c>
      <c r="G793" t="s">
        <v>1361</v>
      </c>
      <c r="H793" s="5">
        <v>4</v>
      </c>
      <c r="I793" s="9">
        <v>2999</v>
      </c>
      <c r="J793" s="9">
        <f t="shared" si="12"/>
        <v>11996</v>
      </c>
      <c r="K793" t="s">
        <v>1379</v>
      </c>
      <c r="L793" t="s">
        <v>1384</v>
      </c>
    </row>
    <row r="794" spans="1:12" x14ac:dyDescent="0.25">
      <c r="A794" s="3">
        <v>45655</v>
      </c>
      <c r="B794" t="s">
        <v>112</v>
      </c>
      <c r="C794" t="s">
        <v>1107</v>
      </c>
      <c r="D794" t="s">
        <v>1345</v>
      </c>
      <c r="E794" t="s">
        <v>1346</v>
      </c>
      <c r="F794" t="s">
        <v>1351</v>
      </c>
      <c r="G794" t="s">
        <v>1371</v>
      </c>
      <c r="H794" s="5">
        <v>4</v>
      </c>
      <c r="I794" s="9">
        <v>1499</v>
      </c>
      <c r="J794" s="9">
        <f t="shared" si="12"/>
        <v>5996</v>
      </c>
      <c r="K794" t="s">
        <v>1379</v>
      </c>
      <c r="L794" t="s">
        <v>1384</v>
      </c>
    </row>
    <row r="795" spans="1:12" x14ac:dyDescent="0.25">
      <c r="A795" s="3">
        <v>45543</v>
      </c>
      <c r="B795" t="s">
        <v>37</v>
      </c>
      <c r="C795" t="s">
        <v>1047</v>
      </c>
      <c r="D795" t="s">
        <v>1344</v>
      </c>
      <c r="E795" t="s">
        <v>1347</v>
      </c>
      <c r="F795" t="s">
        <v>1351</v>
      </c>
      <c r="G795" t="s">
        <v>1356</v>
      </c>
      <c r="H795" s="5">
        <v>43</v>
      </c>
      <c r="I795" s="9">
        <v>3499</v>
      </c>
      <c r="J795" s="9">
        <f t="shared" si="12"/>
        <v>150457</v>
      </c>
      <c r="K795" t="s">
        <v>1377</v>
      </c>
      <c r="L795" t="s">
        <v>1382</v>
      </c>
    </row>
    <row r="796" spans="1:12" x14ac:dyDescent="0.25">
      <c r="A796" s="3">
        <v>45548</v>
      </c>
      <c r="B796" t="s">
        <v>242</v>
      </c>
      <c r="C796" t="s">
        <v>1077</v>
      </c>
      <c r="D796" t="s">
        <v>1344</v>
      </c>
      <c r="E796" t="s">
        <v>1347</v>
      </c>
      <c r="F796" t="s">
        <v>1354</v>
      </c>
      <c r="G796" t="s">
        <v>1363</v>
      </c>
      <c r="H796" s="5">
        <v>32</v>
      </c>
      <c r="I796" s="9">
        <v>499</v>
      </c>
      <c r="J796" s="9">
        <f t="shared" si="12"/>
        <v>15968</v>
      </c>
      <c r="K796" t="s">
        <v>1379</v>
      </c>
      <c r="L796" t="s">
        <v>1380</v>
      </c>
    </row>
    <row r="797" spans="1:12" x14ac:dyDescent="0.25">
      <c r="A797" s="3">
        <v>45518</v>
      </c>
      <c r="B797" t="s">
        <v>160</v>
      </c>
      <c r="C797" t="s">
        <v>1136</v>
      </c>
      <c r="D797" t="s">
        <v>1389</v>
      </c>
      <c r="E797" t="s">
        <v>1347</v>
      </c>
      <c r="F797" t="s">
        <v>1351</v>
      </c>
      <c r="G797" t="s">
        <v>1370</v>
      </c>
      <c r="H797" s="5">
        <v>7</v>
      </c>
      <c r="I797" s="9">
        <v>1499</v>
      </c>
      <c r="J797" s="9">
        <f t="shared" si="12"/>
        <v>10493</v>
      </c>
      <c r="K797" t="s">
        <v>1378</v>
      </c>
      <c r="L797" t="s">
        <v>1382</v>
      </c>
    </row>
    <row r="798" spans="1:12" x14ac:dyDescent="0.25">
      <c r="A798" s="3">
        <v>45574</v>
      </c>
      <c r="B798" t="s">
        <v>912</v>
      </c>
      <c r="C798" t="s">
        <v>1194</v>
      </c>
      <c r="D798" t="s">
        <v>1344</v>
      </c>
      <c r="E798" t="s">
        <v>1347</v>
      </c>
      <c r="F798" t="s">
        <v>1354</v>
      </c>
      <c r="G798" t="s">
        <v>1361</v>
      </c>
      <c r="H798" s="5">
        <v>45</v>
      </c>
      <c r="I798" s="9">
        <v>999</v>
      </c>
      <c r="J798" s="9">
        <f t="shared" si="12"/>
        <v>44955</v>
      </c>
      <c r="K798" t="s">
        <v>1379</v>
      </c>
      <c r="L798" t="s">
        <v>1384</v>
      </c>
    </row>
    <row r="799" spans="1:12" x14ac:dyDescent="0.25">
      <c r="A799" s="3">
        <v>45627</v>
      </c>
      <c r="B799" t="s">
        <v>453</v>
      </c>
      <c r="C799" t="s">
        <v>1269</v>
      </c>
      <c r="D799" t="s">
        <v>1345</v>
      </c>
      <c r="E799" t="s">
        <v>1349</v>
      </c>
      <c r="F799" t="s">
        <v>1352</v>
      </c>
      <c r="G799" t="s">
        <v>1375</v>
      </c>
      <c r="H799" s="5">
        <v>17</v>
      </c>
      <c r="I799" s="9">
        <v>1999</v>
      </c>
      <c r="J799" s="9">
        <f t="shared" si="12"/>
        <v>33983</v>
      </c>
      <c r="K799" t="s">
        <v>1379</v>
      </c>
      <c r="L799" t="s">
        <v>1381</v>
      </c>
    </row>
    <row r="800" spans="1:12" x14ac:dyDescent="0.25">
      <c r="A800" s="3">
        <v>45612</v>
      </c>
      <c r="B800" t="s">
        <v>638</v>
      </c>
      <c r="C800" t="s">
        <v>1239</v>
      </c>
      <c r="D800" t="s">
        <v>1345</v>
      </c>
      <c r="E800" t="s">
        <v>1346</v>
      </c>
      <c r="F800" t="s">
        <v>1354</v>
      </c>
      <c r="G800" t="s">
        <v>1363</v>
      </c>
      <c r="H800" s="5">
        <v>45</v>
      </c>
      <c r="I800" s="9">
        <v>499</v>
      </c>
      <c r="J800" s="9">
        <f t="shared" si="12"/>
        <v>22455</v>
      </c>
      <c r="K800" t="s">
        <v>1377</v>
      </c>
      <c r="L800" t="s">
        <v>1380</v>
      </c>
    </row>
    <row r="801" spans="1:12" x14ac:dyDescent="0.25">
      <c r="A801" s="3">
        <v>45556</v>
      </c>
      <c r="B801" t="s">
        <v>325</v>
      </c>
      <c r="C801" t="s">
        <v>1066</v>
      </c>
      <c r="D801" t="s">
        <v>1344</v>
      </c>
      <c r="E801" t="s">
        <v>1347</v>
      </c>
      <c r="F801" t="s">
        <v>1352</v>
      </c>
      <c r="G801" t="s">
        <v>1364</v>
      </c>
      <c r="H801" s="5">
        <v>48</v>
      </c>
      <c r="I801" s="9">
        <v>2499</v>
      </c>
      <c r="J801" s="9">
        <f t="shared" si="12"/>
        <v>119952</v>
      </c>
      <c r="K801" t="s">
        <v>1376</v>
      </c>
      <c r="L801" t="s">
        <v>1383</v>
      </c>
    </row>
    <row r="802" spans="1:12" x14ac:dyDescent="0.25">
      <c r="A802" s="3">
        <v>45537</v>
      </c>
      <c r="B802" t="s">
        <v>580</v>
      </c>
      <c r="C802" t="s">
        <v>1268</v>
      </c>
      <c r="D802" t="s">
        <v>1344</v>
      </c>
      <c r="E802" t="s">
        <v>1349</v>
      </c>
      <c r="F802" t="s">
        <v>1353</v>
      </c>
      <c r="G802" t="s">
        <v>1367</v>
      </c>
      <c r="H802" s="5">
        <v>24</v>
      </c>
      <c r="I802" s="9">
        <v>1845</v>
      </c>
      <c r="J802" s="9">
        <f t="shared" si="12"/>
        <v>44280</v>
      </c>
      <c r="K802" t="s">
        <v>1379</v>
      </c>
      <c r="L802" t="s">
        <v>1384</v>
      </c>
    </row>
    <row r="803" spans="1:12" x14ac:dyDescent="0.25">
      <c r="A803" s="3">
        <v>45371</v>
      </c>
      <c r="B803" t="s">
        <v>101</v>
      </c>
      <c r="C803" t="s">
        <v>1100</v>
      </c>
      <c r="D803" t="s">
        <v>1344</v>
      </c>
      <c r="E803" t="s">
        <v>1349</v>
      </c>
      <c r="F803" t="s">
        <v>1352</v>
      </c>
      <c r="G803" t="s">
        <v>1368</v>
      </c>
      <c r="H803" s="5">
        <v>44</v>
      </c>
      <c r="I803" s="9">
        <v>199</v>
      </c>
      <c r="J803" s="9">
        <f t="shared" si="12"/>
        <v>8756</v>
      </c>
      <c r="K803" t="s">
        <v>1377</v>
      </c>
      <c r="L803" t="s">
        <v>1383</v>
      </c>
    </row>
    <row r="804" spans="1:12" x14ac:dyDescent="0.25">
      <c r="A804" s="3">
        <v>45558</v>
      </c>
      <c r="B804" t="s">
        <v>529</v>
      </c>
      <c r="C804" t="s">
        <v>1064</v>
      </c>
      <c r="D804" t="s">
        <v>1389</v>
      </c>
      <c r="E804" t="s">
        <v>1349</v>
      </c>
      <c r="F804" t="s">
        <v>1352</v>
      </c>
      <c r="G804" t="s">
        <v>1364</v>
      </c>
      <c r="H804" s="5">
        <v>34</v>
      </c>
      <c r="I804" s="9">
        <v>1499</v>
      </c>
      <c r="J804" s="9">
        <f t="shared" si="12"/>
        <v>50966</v>
      </c>
      <c r="K804" t="s">
        <v>1378</v>
      </c>
      <c r="L804" t="s">
        <v>1380</v>
      </c>
    </row>
    <row r="805" spans="1:12" x14ac:dyDescent="0.25">
      <c r="A805" s="3">
        <v>45513</v>
      </c>
      <c r="B805" t="s">
        <v>333</v>
      </c>
      <c r="C805" t="s">
        <v>1221</v>
      </c>
      <c r="D805" t="s">
        <v>1344</v>
      </c>
      <c r="E805" t="s">
        <v>1349</v>
      </c>
      <c r="F805" t="s">
        <v>1352</v>
      </c>
      <c r="G805" t="s">
        <v>1368</v>
      </c>
      <c r="H805" s="5">
        <v>13</v>
      </c>
      <c r="I805" s="9">
        <v>1499</v>
      </c>
      <c r="J805" s="9">
        <f t="shared" si="12"/>
        <v>19487</v>
      </c>
      <c r="K805" t="s">
        <v>1379</v>
      </c>
      <c r="L805" t="s">
        <v>1384</v>
      </c>
    </row>
    <row r="806" spans="1:12" x14ac:dyDescent="0.25">
      <c r="A806" s="3">
        <v>45425</v>
      </c>
      <c r="B806" t="s">
        <v>888</v>
      </c>
      <c r="C806" t="s">
        <v>1133</v>
      </c>
      <c r="D806" t="s">
        <v>1344</v>
      </c>
      <c r="E806" t="s">
        <v>1348</v>
      </c>
      <c r="F806" t="s">
        <v>1354</v>
      </c>
      <c r="G806" t="s">
        <v>1362</v>
      </c>
      <c r="H806" s="5">
        <v>4</v>
      </c>
      <c r="I806" s="9">
        <v>1749</v>
      </c>
      <c r="J806" s="9">
        <f t="shared" si="12"/>
        <v>6996</v>
      </c>
      <c r="K806" t="s">
        <v>1376</v>
      </c>
      <c r="L806" t="s">
        <v>1380</v>
      </c>
    </row>
    <row r="807" spans="1:12" x14ac:dyDescent="0.25">
      <c r="A807" s="3">
        <v>45486</v>
      </c>
      <c r="B807" t="s">
        <v>199</v>
      </c>
      <c r="C807" t="s">
        <v>1159</v>
      </c>
      <c r="D807" t="s">
        <v>1345</v>
      </c>
      <c r="E807" t="s">
        <v>1349</v>
      </c>
      <c r="F807" t="s">
        <v>1355</v>
      </c>
      <c r="G807" t="s">
        <v>1360</v>
      </c>
      <c r="H807" s="5">
        <v>41</v>
      </c>
      <c r="I807" s="9">
        <v>2999</v>
      </c>
      <c r="J807" s="9">
        <f t="shared" si="12"/>
        <v>122959</v>
      </c>
      <c r="K807" t="s">
        <v>1379</v>
      </c>
      <c r="L807" t="s">
        <v>1382</v>
      </c>
    </row>
    <row r="808" spans="1:12" x14ac:dyDescent="0.25">
      <c r="A808" s="3">
        <v>45351</v>
      </c>
      <c r="B808" t="s">
        <v>397</v>
      </c>
      <c r="C808" t="s">
        <v>1070</v>
      </c>
      <c r="D808" t="s">
        <v>1389</v>
      </c>
      <c r="E808" t="s">
        <v>1347</v>
      </c>
      <c r="F808" t="s">
        <v>1355</v>
      </c>
      <c r="G808" t="s">
        <v>1360</v>
      </c>
      <c r="H808" s="5">
        <v>46</v>
      </c>
      <c r="I808" s="9">
        <v>2999</v>
      </c>
      <c r="J808" s="9">
        <f t="shared" si="12"/>
        <v>137954</v>
      </c>
      <c r="K808" t="s">
        <v>1376</v>
      </c>
      <c r="L808" t="s">
        <v>1383</v>
      </c>
    </row>
    <row r="809" spans="1:12" x14ac:dyDescent="0.25">
      <c r="A809" s="3">
        <v>45461</v>
      </c>
      <c r="B809" t="s">
        <v>743</v>
      </c>
      <c r="C809" t="s">
        <v>1194</v>
      </c>
      <c r="D809" t="s">
        <v>1389</v>
      </c>
      <c r="E809" t="s">
        <v>1349</v>
      </c>
      <c r="F809" t="s">
        <v>1352</v>
      </c>
      <c r="G809" t="s">
        <v>1364</v>
      </c>
      <c r="H809" s="5">
        <v>9</v>
      </c>
      <c r="I809" s="9">
        <v>1499</v>
      </c>
      <c r="J809" s="9">
        <f t="shared" si="12"/>
        <v>13491</v>
      </c>
      <c r="K809" t="s">
        <v>1379</v>
      </c>
      <c r="L809" t="s">
        <v>1384</v>
      </c>
    </row>
    <row r="810" spans="1:12" x14ac:dyDescent="0.25">
      <c r="A810" s="3">
        <v>45556</v>
      </c>
      <c r="B810" t="s">
        <v>589</v>
      </c>
      <c r="C810" t="s">
        <v>1072</v>
      </c>
      <c r="D810" t="s">
        <v>1344</v>
      </c>
      <c r="E810" t="s">
        <v>1347</v>
      </c>
      <c r="F810" t="s">
        <v>1355</v>
      </c>
      <c r="G810" t="s">
        <v>1360</v>
      </c>
      <c r="H810" s="5">
        <v>25</v>
      </c>
      <c r="I810" s="9">
        <v>999</v>
      </c>
      <c r="J810" s="9">
        <f t="shared" si="12"/>
        <v>24975</v>
      </c>
      <c r="K810" t="s">
        <v>1377</v>
      </c>
      <c r="L810" t="s">
        <v>1380</v>
      </c>
    </row>
    <row r="811" spans="1:12" x14ac:dyDescent="0.25">
      <c r="A811" s="3">
        <v>45481</v>
      </c>
      <c r="B811" t="s">
        <v>877</v>
      </c>
      <c r="C811" t="s">
        <v>1120</v>
      </c>
      <c r="D811" t="s">
        <v>1345</v>
      </c>
      <c r="E811" t="s">
        <v>1349</v>
      </c>
      <c r="F811" t="s">
        <v>1351</v>
      </c>
      <c r="G811" t="s">
        <v>1356</v>
      </c>
      <c r="H811" s="5">
        <v>25</v>
      </c>
      <c r="I811" s="9">
        <v>999</v>
      </c>
      <c r="J811" s="9">
        <f t="shared" si="12"/>
        <v>24975</v>
      </c>
      <c r="K811" t="s">
        <v>1379</v>
      </c>
      <c r="L811" t="s">
        <v>1382</v>
      </c>
    </row>
    <row r="812" spans="1:12" x14ac:dyDescent="0.25">
      <c r="A812" s="3">
        <v>45461</v>
      </c>
      <c r="B812" t="s">
        <v>381</v>
      </c>
      <c r="C812" t="s">
        <v>1244</v>
      </c>
      <c r="D812" t="s">
        <v>1389</v>
      </c>
      <c r="E812" t="s">
        <v>1347</v>
      </c>
      <c r="F812" t="s">
        <v>1353</v>
      </c>
      <c r="G812" t="s">
        <v>1367</v>
      </c>
      <c r="H812" s="5">
        <v>31</v>
      </c>
      <c r="I812" s="9">
        <v>3499</v>
      </c>
      <c r="J812" s="9">
        <f t="shared" si="12"/>
        <v>108469</v>
      </c>
      <c r="K812" t="s">
        <v>1377</v>
      </c>
      <c r="L812" t="s">
        <v>1382</v>
      </c>
    </row>
    <row r="813" spans="1:12" x14ac:dyDescent="0.25">
      <c r="A813" s="3">
        <v>45310</v>
      </c>
      <c r="B813" t="s">
        <v>124</v>
      </c>
      <c r="C813" t="s">
        <v>1115</v>
      </c>
      <c r="D813" t="s">
        <v>1344</v>
      </c>
      <c r="E813" t="s">
        <v>1347</v>
      </c>
      <c r="F813" t="s">
        <v>1355</v>
      </c>
      <c r="G813" t="s">
        <v>1374</v>
      </c>
      <c r="H813" s="5">
        <v>20</v>
      </c>
      <c r="I813" s="9">
        <v>499</v>
      </c>
      <c r="J813" s="9">
        <f t="shared" si="12"/>
        <v>9980</v>
      </c>
      <c r="K813" t="s">
        <v>1379</v>
      </c>
      <c r="L813" t="s">
        <v>1382</v>
      </c>
    </row>
    <row r="814" spans="1:12" x14ac:dyDescent="0.25">
      <c r="A814" s="3">
        <v>45412</v>
      </c>
      <c r="B814" t="s">
        <v>598</v>
      </c>
      <c r="C814" t="s">
        <v>1303</v>
      </c>
      <c r="D814" t="s">
        <v>1344</v>
      </c>
      <c r="E814" t="s">
        <v>1348</v>
      </c>
      <c r="F814" t="s">
        <v>1354</v>
      </c>
      <c r="G814" t="s">
        <v>1361</v>
      </c>
      <c r="H814" s="5">
        <v>26</v>
      </c>
      <c r="I814" s="9">
        <v>1999</v>
      </c>
      <c r="J814" s="9">
        <f t="shared" si="12"/>
        <v>51974</v>
      </c>
      <c r="K814" t="s">
        <v>1379</v>
      </c>
      <c r="L814" t="s">
        <v>1380</v>
      </c>
    </row>
    <row r="815" spans="1:12" x14ac:dyDescent="0.25">
      <c r="A815" s="3">
        <v>45343</v>
      </c>
      <c r="B815" t="s">
        <v>517</v>
      </c>
      <c r="C815" t="s">
        <v>1178</v>
      </c>
      <c r="D815" t="s">
        <v>1345</v>
      </c>
      <c r="E815" t="s">
        <v>1348</v>
      </c>
      <c r="F815" t="s">
        <v>1351</v>
      </c>
      <c r="G815" t="s">
        <v>1371</v>
      </c>
      <c r="H815" s="5">
        <v>22</v>
      </c>
      <c r="I815" s="9">
        <v>999</v>
      </c>
      <c r="J815" s="9">
        <f t="shared" si="12"/>
        <v>21978</v>
      </c>
      <c r="K815" t="s">
        <v>1376</v>
      </c>
      <c r="L815" t="s">
        <v>1382</v>
      </c>
    </row>
    <row r="816" spans="1:12" x14ac:dyDescent="0.25">
      <c r="A816" s="3">
        <v>45602</v>
      </c>
      <c r="B816" t="s">
        <v>754</v>
      </c>
      <c r="C816" t="s">
        <v>1323</v>
      </c>
      <c r="D816" t="s">
        <v>1344</v>
      </c>
      <c r="E816" t="s">
        <v>1349</v>
      </c>
      <c r="F816" t="s">
        <v>1353</v>
      </c>
      <c r="G816" t="s">
        <v>1369</v>
      </c>
      <c r="H816" s="5">
        <v>9</v>
      </c>
      <c r="I816" s="9">
        <v>3499</v>
      </c>
      <c r="J816" s="9">
        <f t="shared" si="12"/>
        <v>31491</v>
      </c>
      <c r="K816" t="s">
        <v>1379</v>
      </c>
      <c r="L816" t="s">
        <v>1384</v>
      </c>
    </row>
    <row r="817" spans="1:12" x14ac:dyDescent="0.25">
      <c r="A817" s="3">
        <v>45428</v>
      </c>
      <c r="B817" t="s">
        <v>391</v>
      </c>
      <c r="C817" t="s">
        <v>1184</v>
      </c>
      <c r="D817" t="s">
        <v>1344</v>
      </c>
      <c r="E817" t="s">
        <v>1347</v>
      </c>
      <c r="F817" t="s">
        <v>1352</v>
      </c>
      <c r="G817" t="s">
        <v>1364</v>
      </c>
      <c r="H817" s="5">
        <v>10</v>
      </c>
      <c r="I817" s="9">
        <v>499</v>
      </c>
      <c r="J817" s="9">
        <f t="shared" si="12"/>
        <v>4990</v>
      </c>
      <c r="K817" t="s">
        <v>1379</v>
      </c>
      <c r="L817" t="s">
        <v>1381</v>
      </c>
    </row>
    <row r="818" spans="1:12" x14ac:dyDescent="0.25">
      <c r="A818" s="3">
        <v>45614</v>
      </c>
      <c r="B818" t="s">
        <v>384</v>
      </c>
      <c r="C818" t="s">
        <v>1136</v>
      </c>
      <c r="D818" t="s">
        <v>1345</v>
      </c>
      <c r="E818" t="s">
        <v>1349</v>
      </c>
      <c r="F818" t="s">
        <v>1354</v>
      </c>
      <c r="G818" t="s">
        <v>1366</v>
      </c>
      <c r="H818" s="5">
        <v>35</v>
      </c>
      <c r="I818" s="9">
        <v>499</v>
      </c>
      <c r="J818" s="9">
        <f t="shared" si="12"/>
        <v>17465</v>
      </c>
      <c r="K818" t="s">
        <v>1377</v>
      </c>
      <c r="L818" t="s">
        <v>1380</v>
      </c>
    </row>
    <row r="819" spans="1:12" x14ac:dyDescent="0.25">
      <c r="A819" s="3">
        <v>45569</v>
      </c>
      <c r="B819" t="s">
        <v>741</v>
      </c>
      <c r="C819" t="s">
        <v>1209</v>
      </c>
      <c r="D819" t="s">
        <v>1345</v>
      </c>
      <c r="E819" t="s">
        <v>1349</v>
      </c>
      <c r="F819" t="s">
        <v>1352</v>
      </c>
      <c r="G819" t="s">
        <v>1358</v>
      </c>
      <c r="H819" s="5">
        <v>49</v>
      </c>
      <c r="I819" s="9">
        <v>2999</v>
      </c>
      <c r="J819" s="9">
        <f t="shared" si="12"/>
        <v>146951</v>
      </c>
      <c r="K819" t="s">
        <v>1378</v>
      </c>
      <c r="L819" t="s">
        <v>1380</v>
      </c>
    </row>
    <row r="820" spans="1:12" x14ac:dyDescent="0.25">
      <c r="A820" s="3">
        <v>45458</v>
      </c>
      <c r="B820" t="s">
        <v>166</v>
      </c>
      <c r="C820" t="s">
        <v>1109</v>
      </c>
      <c r="D820" t="s">
        <v>1345</v>
      </c>
      <c r="E820" t="s">
        <v>1349</v>
      </c>
      <c r="F820" t="s">
        <v>1354</v>
      </c>
      <c r="G820" t="s">
        <v>1361</v>
      </c>
      <c r="H820" s="5">
        <v>35</v>
      </c>
      <c r="I820" s="9">
        <v>2999</v>
      </c>
      <c r="J820" s="9">
        <f t="shared" si="12"/>
        <v>104965</v>
      </c>
      <c r="K820" t="s">
        <v>1379</v>
      </c>
      <c r="L820" t="s">
        <v>1384</v>
      </c>
    </row>
    <row r="821" spans="1:12" x14ac:dyDescent="0.25">
      <c r="A821" s="3">
        <v>45330</v>
      </c>
      <c r="B821" t="s">
        <v>791</v>
      </c>
      <c r="C821" t="s">
        <v>1186</v>
      </c>
      <c r="D821" t="s">
        <v>1344</v>
      </c>
      <c r="E821" t="s">
        <v>1347</v>
      </c>
      <c r="F821" t="s">
        <v>1351</v>
      </c>
      <c r="G821" t="s">
        <v>1356</v>
      </c>
      <c r="H821" s="5">
        <v>28</v>
      </c>
      <c r="I821" s="9">
        <v>199</v>
      </c>
      <c r="J821" s="9">
        <f t="shared" si="12"/>
        <v>5572</v>
      </c>
      <c r="K821" t="s">
        <v>1377</v>
      </c>
      <c r="L821" t="s">
        <v>1382</v>
      </c>
    </row>
    <row r="822" spans="1:12" x14ac:dyDescent="0.25">
      <c r="A822" s="3">
        <v>45516</v>
      </c>
      <c r="B822" t="s">
        <v>295</v>
      </c>
      <c r="C822" t="s">
        <v>1145</v>
      </c>
      <c r="D822" t="s">
        <v>1389</v>
      </c>
      <c r="E822" t="s">
        <v>1347</v>
      </c>
      <c r="F822" t="s">
        <v>1355</v>
      </c>
      <c r="G822" t="s">
        <v>1360</v>
      </c>
      <c r="H822" s="5">
        <v>46</v>
      </c>
      <c r="I822" s="9">
        <v>499</v>
      </c>
      <c r="J822" s="9">
        <f t="shared" si="12"/>
        <v>22954</v>
      </c>
      <c r="K822" t="s">
        <v>1377</v>
      </c>
      <c r="L822" t="s">
        <v>1382</v>
      </c>
    </row>
    <row r="823" spans="1:12" x14ac:dyDescent="0.25">
      <c r="A823" s="3">
        <v>45325</v>
      </c>
      <c r="B823" t="s">
        <v>732</v>
      </c>
      <c r="C823" t="s">
        <v>1046</v>
      </c>
      <c r="D823" t="s">
        <v>1344</v>
      </c>
      <c r="E823" t="s">
        <v>1347</v>
      </c>
      <c r="F823" t="s">
        <v>1355</v>
      </c>
      <c r="G823" t="s">
        <v>1372</v>
      </c>
      <c r="H823" s="5">
        <v>27</v>
      </c>
      <c r="I823" s="9">
        <v>1838</v>
      </c>
      <c r="J823" s="9">
        <f t="shared" si="12"/>
        <v>49626</v>
      </c>
      <c r="K823" t="s">
        <v>1379</v>
      </c>
      <c r="L823" t="s">
        <v>1380</v>
      </c>
    </row>
    <row r="824" spans="1:12" x14ac:dyDescent="0.25">
      <c r="A824" s="3">
        <v>45656</v>
      </c>
      <c r="B824" t="s">
        <v>480</v>
      </c>
      <c r="C824" t="s">
        <v>1123</v>
      </c>
      <c r="D824" t="s">
        <v>1344</v>
      </c>
      <c r="E824" t="s">
        <v>1348</v>
      </c>
      <c r="F824" t="s">
        <v>1352</v>
      </c>
      <c r="G824" t="s">
        <v>1375</v>
      </c>
      <c r="H824" s="5">
        <v>4</v>
      </c>
      <c r="I824" s="9">
        <v>1499</v>
      </c>
      <c r="J824" s="9">
        <f t="shared" si="12"/>
        <v>5996</v>
      </c>
      <c r="K824" t="s">
        <v>1376</v>
      </c>
      <c r="L824" t="s">
        <v>1382</v>
      </c>
    </row>
    <row r="825" spans="1:12" x14ac:dyDescent="0.25">
      <c r="A825" s="3">
        <v>45492</v>
      </c>
      <c r="B825" t="s">
        <v>853</v>
      </c>
      <c r="C825" t="s">
        <v>1047</v>
      </c>
      <c r="D825" t="s">
        <v>1344</v>
      </c>
      <c r="E825" t="s">
        <v>1350</v>
      </c>
      <c r="F825" t="s">
        <v>1353</v>
      </c>
      <c r="G825" t="s">
        <v>1365</v>
      </c>
      <c r="H825" s="5">
        <v>27</v>
      </c>
      <c r="I825" s="9">
        <v>3499</v>
      </c>
      <c r="J825" s="9">
        <f t="shared" si="12"/>
        <v>94473</v>
      </c>
      <c r="K825" t="s">
        <v>1376</v>
      </c>
      <c r="L825" t="s">
        <v>1382</v>
      </c>
    </row>
    <row r="826" spans="1:12" x14ac:dyDescent="0.25">
      <c r="A826" s="3">
        <v>45435</v>
      </c>
      <c r="B826" t="s">
        <v>675</v>
      </c>
      <c r="C826" t="s">
        <v>1107</v>
      </c>
      <c r="D826" t="s">
        <v>1345</v>
      </c>
      <c r="E826" t="s">
        <v>1350</v>
      </c>
      <c r="F826" t="s">
        <v>1352</v>
      </c>
      <c r="G826" t="s">
        <v>1358</v>
      </c>
      <c r="H826" s="5">
        <v>49</v>
      </c>
      <c r="I826" s="9">
        <v>199</v>
      </c>
      <c r="J826" s="9">
        <f t="shared" si="12"/>
        <v>9751</v>
      </c>
      <c r="K826" t="s">
        <v>1378</v>
      </c>
      <c r="L826" t="s">
        <v>1382</v>
      </c>
    </row>
    <row r="827" spans="1:12" x14ac:dyDescent="0.25">
      <c r="A827" s="3">
        <v>45486</v>
      </c>
      <c r="B827" t="s">
        <v>938</v>
      </c>
      <c r="C827" t="s">
        <v>1093</v>
      </c>
      <c r="D827" t="s">
        <v>1389</v>
      </c>
      <c r="E827" t="s">
        <v>1348</v>
      </c>
      <c r="F827" t="s">
        <v>1351</v>
      </c>
      <c r="G827" t="s">
        <v>1370</v>
      </c>
      <c r="H827" s="5">
        <v>3</v>
      </c>
      <c r="I827" s="9">
        <v>1999</v>
      </c>
      <c r="J827" s="9">
        <f t="shared" si="12"/>
        <v>5997</v>
      </c>
      <c r="K827" t="s">
        <v>1376</v>
      </c>
      <c r="L827" t="s">
        <v>1382</v>
      </c>
    </row>
    <row r="828" spans="1:12" x14ac:dyDescent="0.25">
      <c r="A828" s="3">
        <v>45358</v>
      </c>
      <c r="B828" t="s">
        <v>909</v>
      </c>
      <c r="C828" t="s">
        <v>1076</v>
      </c>
      <c r="D828" t="s">
        <v>1389</v>
      </c>
      <c r="E828" t="s">
        <v>1346</v>
      </c>
      <c r="F828" t="s">
        <v>1351</v>
      </c>
      <c r="G828" t="s">
        <v>1357</v>
      </c>
      <c r="H828" s="5">
        <v>47</v>
      </c>
      <c r="I828" s="9">
        <v>1999</v>
      </c>
      <c r="J828" s="9">
        <f t="shared" si="12"/>
        <v>93953</v>
      </c>
      <c r="K828" t="s">
        <v>1379</v>
      </c>
      <c r="L828" t="s">
        <v>1383</v>
      </c>
    </row>
    <row r="829" spans="1:12" x14ac:dyDescent="0.25">
      <c r="A829" s="3">
        <v>45367</v>
      </c>
      <c r="B829" t="s">
        <v>422</v>
      </c>
      <c r="C829" t="s">
        <v>1072</v>
      </c>
      <c r="D829" t="s">
        <v>1389</v>
      </c>
      <c r="E829" t="s">
        <v>1348</v>
      </c>
      <c r="F829" t="s">
        <v>1353</v>
      </c>
      <c r="G829" t="s">
        <v>1365</v>
      </c>
      <c r="H829" s="5">
        <v>38</v>
      </c>
      <c r="I829" s="9">
        <v>3499</v>
      </c>
      <c r="J829" s="9">
        <f t="shared" si="12"/>
        <v>132962</v>
      </c>
      <c r="K829" t="s">
        <v>1376</v>
      </c>
      <c r="L829" t="s">
        <v>1384</v>
      </c>
    </row>
    <row r="830" spans="1:12" x14ac:dyDescent="0.25">
      <c r="A830" s="3">
        <v>45615</v>
      </c>
      <c r="B830" t="s">
        <v>785</v>
      </c>
      <c r="C830" t="s">
        <v>1245</v>
      </c>
      <c r="D830" t="s">
        <v>1345</v>
      </c>
      <c r="E830" t="s">
        <v>1349</v>
      </c>
      <c r="F830" t="s">
        <v>1355</v>
      </c>
      <c r="G830" t="s">
        <v>1373</v>
      </c>
      <c r="H830" s="5">
        <v>44</v>
      </c>
      <c r="I830" s="9">
        <v>2999</v>
      </c>
      <c r="J830" s="9">
        <f t="shared" si="12"/>
        <v>131956</v>
      </c>
      <c r="K830" t="s">
        <v>1379</v>
      </c>
      <c r="L830" t="s">
        <v>1380</v>
      </c>
    </row>
    <row r="831" spans="1:12" x14ac:dyDescent="0.25">
      <c r="A831" s="3">
        <v>45383</v>
      </c>
      <c r="B831" t="s">
        <v>423</v>
      </c>
      <c r="C831" t="s">
        <v>1031</v>
      </c>
      <c r="D831" t="s">
        <v>1389</v>
      </c>
      <c r="E831" t="s">
        <v>1350</v>
      </c>
      <c r="F831" t="s">
        <v>1354</v>
      </c>
      <c r="G831" t="s">
        <v>1363</v>
      </c>
      <c r="H831" s="5">
        <v>5</v>
      </c>
      <c r="I831" s="9">
        <v>999</v>
      </c>
      <c r="J831" s="9">
        <f t="shared" si="12"/>
        <v>4995</v>
      </c>
      <c r="K831" t="s">
        <v>1379</v>
      </c>
      <c r="L831" t="s">
        <v>1380</v>
      </c>
    </row>
    <row r="832" spans="1:12" x14ac:dyDescent="0.25">
      <c r="A832" s="3">
        <v>45483</v>
      </c>
      <c r="B832" t="s">
        <v>752</v>
      </c>
      <c r="C832" t="s">
        <v>1086</v>
      </c>
      <c r="D832" t="s">
        <v>1389</v>
      </c>
      <c r="E832" t="s">
        <v>1347</v>
      </c>
      <c r="F832" t="s">
        <v>1352</v>
      </c>
      <c r="G832" t="s">
        <v>1358</v>
      </c>
      <c r="H832" s="5">
        <v>24</v>
      </c>
      <c r="I832" s="9">
        <v>1999</v>
      </c>
      <c r="J832" s="9">
        <f t="shared" si="12"/>
        <v>47976</v>
      </c>
      <c r="K832" t="s">
        <v>1379</v>
      </c>
      <c r="L832" t="s">
        <v>1380</v>
      </c>
    </row>
    <row r="833" spans="1:12" x14ac:dyDescent="0.25">
      <c r="A833" s="3">
        <v>45621</v>
      </c>
      <c r="B833" t="s">
        <v>466</v>
      </c>
      <c r="C833" t="s">
        <v>1042</v>
      </c>
      <c r="D833" t="s">
        <v>1344</v>
      </c>
      <c r="E833" t="s">
        <v>1349</v>
      </c>
      <c r="F833" t="s">
        <v>1351</v>
      </c>
      <c r="G833" t="s">
        <v>1357</v>
      </c>
      <c r="H833" s="5">
        <v>10</v>
      </c>
      <c r="I833" s="9">
        <v>2499</v>
      </c>
      <c r="J833" s="9">
        <f t="shared" si="12"/>
        <v>24990</v>
      </c>
      <c r="K833" t="s">
        <v>1379</v>
      </c>
      <c r="L833" t="s">
        <v>1382</v>
      </c>
    </row>
    <row r="834" spans="1:12" x14ac:dyDescent="0.25">
      <c r="A834" s="3">
        <v>45439</v>
      </c>
      <c r="B834" t="s">
        <v>695</v>
      </c>
      <c r="C834" t="s">
        <v>1027</v>
      </c>
      <c r="D834" t="s">
        <v>1344</v>
      </c>
      <c r="E834" t="s">
        <v>1346</v>
      </c>
      <c r="F834" t="s">
        <v>1354</v>
      </c>
      <c r="G834" t="s">
        <v>1361</v>
      </c>
      <c r="H834" s="5">
        <v>1</v>
      </c>
      <c r="I834" s="9">
        <v>2499</v>
      </c>
      <c r="J834" s="9">
        <f t="shared" ref="J834:J897" si="13">H834*I834</f>
        <v>2499</v>
      </c>
      <c r="K834" t="s">
        <v>1378</v>
      </c>
      <c r="L834" t="s">
        <v>1380</v>
      </c>
    </row>
    <row r="835" spans="1:12" x14ac:dyDescent="0.25">
      <c r="A835" s="3">
        <v>45545</v>
      </c>
      <c r="B835" t="s">
        <v>221</v>
      </c>
      <c r="C835" t="s">
        <v>1173</v>
      </c>
      <c r="D835" t="s">
        <v>1345</v>
      </c>
      <c r="E835" t="s">
        <v>1349</v>
      </c>
      <c r="F835" t="s">
        <v>1351</v>
      </c>
      <c r="G835" t="s">
        <v>1371</v>
      </c>
      <c r="H835" s="5">
        <v>8</v>
      </c>
      <c r="I835" s="9">
        <v>1999</v>
      </c>
      <c r="J835" s="9">
        <f t="shared" si="13"/>
        <v>15992</v>
      </c>
      <c r="K835" t="s">
        <v>1379</v>
      </c>
      <c r="L835" t="s">
        <v>1384</v>
      </c>
    </row>
    <row r="836" spans="1:12" x14ac:dyDescent="0.25">
      <c r="A836" s="3">
        <v>45646</v>
      </c>
      <c r="B836" t="s">
        <v>1003</v>
      </c>
      <c r="C836" t="s">
        <v>1111</v>
      </c>
      <c r="D836" t="s">
        <v>1345</v>
      </c>
      <c r="E836" t="s">
        <v>1347</v>
      </c>
      <c r="F836" t="s">
        <v>1355</v>
      </c>
      <c r="G836" t="s">
        <v>1374</v>
      </c>
      <c r="H836" s="5">
        <v>49</v>
      </c>
      <c r="I836" s="9">
        <v>499</v>
      </c>
      <c r="J836" s="9">
        <f t="shared" si="13"/>
        <v>24451</v>
      </c>
      <c r="K836" t="s">
        <v>1379</v>
      </c>
      <c r="L836" t="s">
        <v>1380</v>
      </c>
    </row>
    <row r="837" spans="1:12" x14ac:dyDescent="0.25">
      <c r="A837" s="3">
        <v>45530</v>
      </c>
      <c r="B837" t="s">
        <v>879</v>
      </c>
      <c r="C837" t="s">
        <v>1113</v>
      </c>
      <c r="D837" t="s">
        <v>1345</v>
      </c>
      <c r="E837" t="s">
        <v>1347</v>
      </c>
      <c r="F837" t="s">
        <v>1351</v>
      </c>
      <c r="G837" t="s">
        <v>1356</v>
      </c>
      <c r="H837" s="5">
        <v>40</v>
      </c>
      <c r="I837" s="9">
        <v>1999</v>
      </c>
      <c r="J837" s="9">
        <f t="shared" si="13"/>
        <v>79960</v>
      </c>
      <c r="K837" t="s">
        <v>1377</v>
      </c>
      <c r="L837" t="s">
        <v>1381</v>
      </c>
    </row>
    <row r="838" spans="1:12" x14ac:dyDescent="0.25">
      <c r="A838" s="3">
        <v>45329</v>
      </c>
      <c r="B838" t="s">
        <v>1004</v>
      </c>
      <c r="C838" t="s">
        <v>1097</v>
      </c>
      <c r="D838" t="s">
        <v>1344</v>
      </c>
      <c r="E838" t="s">
        <v>1348</v>
      </c>
      <c r="F838" t="s">
        <v>1352</v>
      </c>
      <c r="G838" t="s">
        <v>1375</v>
      </c>
      <c r="H838" s="5">
        <v>39</v>
      </c>
      <c r="I838" s="9">
        <v>1624</v>
      </c>
      <c r="J838" s="9">
        <f t="shared" si="13"/>
        <v>63336</v>
      </c>
      <c r="K838" t="s">
        <v>1379</v>
      </c>
      <c r="L838" t="s">
        <v>1384</v>
      </c>
    </row>
    <row r="839" spans="1:12" x14ac:dyDescent="0.25">
      <c r="A839" s="3">
        <v>45366</v>
      </c>
      <c r="B839" t="s">
        <v>469</v>
      </c>
      <c r="C839" t="s">
        <v>1275</v>
      </c>
      <c r="D839" t="s">
        <v>1344</v>
      </c>
      <c r="E839" t="s">
        <v>1350</v>
      </c>
      <c r="F839" t="s">
        <v>1353</v>
      </c>
      <c r="G839" t="s">
        <v>1369</v>
      </c>
      <c r="H839" s="5">
        <v>38</v>
      </c>
      <c r="I839" s="9">
        <v>2999</v>
      </c>
      <c r="J839" s="9">
        <f t="shared" si="13"/>
        <v>113962</v>
      </c>
      <c r="K839" t="s">
        <v>1376</v>
      </c>
      <c r="L839" t="s">
        <v>1384</v>
      </c>
    </row>
    <row r="840" spans="1:12" x14ac:dyDescent="0.25">
      <c r="A840" s="3">
        <v>45482</v>
      </c>
      <c r="B840" t="s">
        <v>829</v>
      </c>
      <c r="C840" t="s">
        <v>1118</v>
      </c>
      <c r="D840" t="s">
        <v>1389</v>
      </c>
      <c r="E840" t="s">
        <v>1349</v>
      </c>
      <c r="F840" t="s">
        <v>1353</v>
      </c>
      <c r="G840" t="s">
        <v>1365</v>
      </c>
      <c r="H840" s="5">
        <v>3</v>
      </c>
      <c r="I840" s="9">
        <v>1845</v>
      </c>
      <c r="J840" s="9">
        <f t="shared" si="13"/>
        <v>5535</v>
      </c>
      <c r="K840" t="s">
        <v>1377</v>
      </c>
      <c r="L840" t="s">
        <v>1383</v>
      </c>
    </row>
    <row r="841" spans="1:12" x14ac:dyDescent="0.25">
      <c r="A841" s="3">
        <v>45543</v>
      </c>
      <c r="B841" t="s">
        <v>627</v>
      </c>
      <c r="C841" t="s">
        <v>1043</v>
      </c>
      <c r="D841" t="s">
        <v>1389</v>
      </c>
      <c r="E841" t="s">
        <v>1347</v>
      </c>
      <c r="F841" t="s">
        <v>1354</v>
      </c>
      <c r="G841" t="s">
        <v>1366</v>
      </c>
      <c r="H841" s="5">
        <v>49</v>
      </c>
      <c r="I841" s="9">
        <v>3499</v>
      </c>
      <c r="J841" s="9">
        <f t="shared" si="13"/>
        <v>171451</v>
      </c>
      <c r="K841" t="s">
        <v>1379</v>
      </c>
      <c r="L841" t="s">
        <v>1384</v>
      </c>
    </row>
    <row r="842" spans="1:12" x14ac:dyDescent="0.25">
      <c r="A842" s="3">
        <v>45611</v>
      </c>
      <c r="B842" t="s">
        <v>214</v>
      </c>
      <c r="C842" t="s">
        <v>1168</v>
      </c>
      <c r="D842" t="s">
        <v>1344</v>
      </c>
      <c r="E842" t="s">
        <v>1349</v>
      </c>
      <c r="F842" t="s">
        <v>1351</v>
      </c>
      <c r="G842" t="s">
        <v>1356</v>
      </c>
      <c r="H842" s="5">
        <v>25</v>
      </c>
      <c r="I842" s="9">
        <v>1878</v>
      </c>
      <c r="J842" s="9">
        <f t="shared" si="13"/>
        <v>46950</v>
      </c>
      <c r="K842" t="s">
        <v>1377</v>
      </c>
      <c r="L842" t="s">
        <v>1384</v>
      </c>
    </row>
    <row r="843" spans="1:12" x14ac:dyDescent="0.25">
      <c r="A843" s="3">
        <v>45629</v>
      </c>
      <c r="B843" t="s">
        <v>33</v>
      </c>
      <c r="C843" t="s">
        <v>1043</v>
      </c>
      <c r="D843" t="s">
        <v>1389</v>
      </c>
      <c r="E843" t="s">
        <v>1348</v>
      </c>
      <c r="F843" t="s">
        <v>1354</v>
      </c>
      <c r="G843" t="s">
        <v>1363</v>
      </c>
      <c r="H843" s="5">
        <v>42</v>
      </c>
      <c r="I843" s="9">
        <v>2999</v>
      </c>
      <c r="J843" s="9">
        <f t="shared" si="13"/>
        <v>125958</v>
      </c>
      <c r="K843" t="s">
        <v>1379</v>
      </c>
      <c r="L843" t="s">
        <v>1382</v>
      </c>
    </row>
    <row r="844" spans="1:12" x14ac:dyDescent="0.25">
      <c r="A844" s="3">
        <v>45637</v>
      </c>
      <c r="B844" t="s">
        <v>604</v>
      </c>
      <c r="C844" t="s">
        <v>1057</v>
      </c>
      <c r="D844" t="s">
        <v>1389</v>
      </c>
      <c r="E844" t="s">
        <v>1348</v>
      </c>
      <c r="F844" t="s">
        <v>1353</v>
      </c>
      <c r="G844" t="s">
        <v>1367</v>
      </c>
      <c r="H844" s="5">
        <v>15</v>
      </c>
      <c r="I844" s="9">
        <v>1999</v>
      </c>
      <c r="J844" s="9">
        <f t="shared" si="13"/>
        <v>29985</v>
      </c>
      <c r="K844" t="s">
        <v>1377</v>
      </c>
      <c r="L844" t="s">
        <v>1382</v>
      </c>
    </row>
    <row r="845" spans="1:12" x14ac:dyDescent="0.25">
      <c r="A845" s="3">
        <v>45377</v>
      </c>
      <c r="B845" t="s">
        <v>168</v>
      </c>
      <c r="C845" t="s">
        <v>1025</v>
      </c>
      <c r="D845" t="s">
        <v>1389</v>
      </c>
      <c r="E845" t="s">
        <v>1347</v>
      </c>
      <c r="F845" t="s">
        <v>1354</v>
      </c>
      <c r="G845" t="s">
        <v>1361</v>
      </c>
      <c r="H845" s="5">
        <v>4</v>
      </c>
      <c r="I845" s="9">
        <v>999</v>
      </c>
      <c r="J845" s="9">
        <f t="shared" si="13"/>
        <v>3996</v>
      </c>
      <c r="K845" t="s">
        <v>1379</v>
      </c>
      <c r="L845" t="s">
        <v>1384</v>
      </c>
    </row>
    <row r="846" spans="1:12" x14ac:dyDescent="0.25">
      <c r="A846" s="3">
        <v>45647</v>
      </c>
      <c r="B846" t="s">
        <v>992</v>
      </c>
      <c r="C846" t="s">
        <v>1257</v>
      </c>
      <c r="D846" t="s">
        <v>1345</v>
      </c>
      <c r="E846" t="s">
        <v>1349</v>
      </c>
      <c r="F846" t="s">
        <v>1352</v>
      </c>
      <c r="G846" t="s">
        <v>1358</v>
      </c>
      <c r="H846" s="5">
        <v>48</v>
      </c>
      <c r="I846" s="9">
        <v>999</v>
      </c>
      <c r="J846" s="9">
        <f t="shared" si="13"/>
        <v>47952</v>
      </c>
      <c r="K846" t="s">
        <v>1377</v>
      </c>
      <c r="L846" t="s">
        <v>1383</v>
      </c>
    </row>
    <row r="847" spans="1:12" x14ac:dyDescent="0.25">
      <c r="A847" s="3">
        <v>45647</v>
      </c>
      <c r="B847" t="s">
        <v>126</v>
      </c>
      <c r="C847" t="s">
        <v>1117</v>
      </c>
      <c r="D847" t="s">
        <v>1344</v>
      </c>
      <c r="E847" t="s">
        <v>1347</v>
      </c>
      <c r="F847" t="s">
        <v>1354</v>
      </c>
      <c r="G847" t="s">
        <v>1366</v>
      </c>
      <c r="H847" s="5">
        <v>42</v>
      </c>
      <c r="I847" s="9">
        <v>499</v>
      </c>
      <c r="J847" s="9">
        <f t="shared" si="13"/>
        <v>20958</v>
      </c>
      <c r="K847" t="s">
        <v>1379</v>
      </c>
      <c r="L847" t="s">
        <v>1382</v>
      </c>
    </row>
    <row r="848" spans="1:12" x14ac:dyDescent="0.25">
      <c r="A848" s="3">
        <v>45345</v>
      </c>
      <c r="B848" t="s">
        <v>641</v>
      </c>
      <c r="C848" t="s">
        <v>1104</v>
      </c>
      <c r="D848" t="s">
        <v>1389</v>
      </c>
      <c r="E848" t="s">
        <v>1347</v>
      </c>
      <c r="F848" t="s">
        <v>1355</v>
      </c>
      <c r="G848" t="s">
        <v>1373</v>
      </c>
      <c r="H848" s="5">
        <v>21</v>
      </c>
      <c r="I848" s="9">
        <v>3499</v>
      </c>
      <c r="J848" s="9">
        <f t="shared" si="13"/>
        <v>73479</v>
      </c>
      <c r="K848" t="s">
        <v>1379</v>
      </c>
      <c r="L848" t="s">
        <v>1382</v>
      </c>
    </row>
    <row r="849" spans="1:12" x14ac:dyDescent="0.25">
      <c r="A849" s="3">
        <v>45338</v>
      </c>
      <c r="B849" t="s">
        <v>717</v>
      </c>
      <c r="C849" t="s">
        <v>1139</v>
      </c>
      <c r="D849" t="s">
        <v>1345</v>
      </c>
      <c r="E849" t="s">
        <v>1350</v>
      </c>
      <c r="F849" t="s">
        <v>1355</v>
      </c>
      <c r="G849" t="s">
        <v>1374</v>
      </c>
      <c r="H849" s="5">
        <v>40</v>
      </c>
      <c r="I849" s="9">
        <v>3499</v>
      </c>
      <c r="J849" s="9">
        <f t="shared" si="13"/>
        <v>139960</v>
      </c>
      <c r="K849" t="s">
        <v>1378</v>
      </c>
      <c r="L849" t="s">
        <v>1380</v>
      </c>
    </row>
    <row r="850" spans="1:12" x14ac:dyDescent="0.25">
      <c r="A850" s="3">
        <v>45450</v>
      </c>
      <c r="B850" t="s">
        <v>537</v>
      </c>
      <c r="C850" t="s">
        <v>1025</v>
      </c>
      <c r="D850" t="s">
        <v>1389</v>
      </c>
      <c r="E850" t="s">
        <v>1347</v>
      </c>
      <c r="F850" t="s">
        <v>1351</v>
      </c>
      <c r="G850" t="s">
        <v>1356</v>
      </c>
      <c r="H850" s="5">
        <v>9</v>
      </c>
      <c r="I850" s="9">
        <v>1878</v>
      </c>
      <c r="J850" s="9">
        <f t="shared" si="13"/>
        <v>16902</v>
      </c>
      <c r="K850" t="s">
        <v>1379</v>
      </c>
      <c r="L850" t="s">
        <v>1382</v>
      </c>
    </row>
    <row r="851" spans="1:12" x14ac:dyDescent="0.25">
      <c r="A851" s="3">
        <v>45301</v>
      </c>
      <c r="B851" t="s">
        <v>1016</v>
      </c>
      <c r="C851" t="s">
        <v>1299</v>
      </c>
      <c r="D851" t="s">
        <v>1389</v>
      </c>
      <c r="E851" t="s">
        <v>1347</v>
      </c>
      <c r="F851" t="s">
        <v>1354</v>
      </c>
      <c r="G851" t="s">
        <v>1363</v>
      </c>
      <c r="H851" s="5">
        <v>38</v>
      </c>
      <c r="I851" s="9">
        <v>1499</v>
      </c>
      <c r="J851" s="9">
        <f t="shared" si="13"/>
        <v>56962</v>
      </c>
      <c r="K851" t="s">
        <v>1379</v>
      </c>
      <c r="L851" t="s">
        <v>1382</v>
      </c>
    </row>
    <row r="852" spans="1:12" x14ac:dyDescent="0.25">
      <c r="A852" s="3">
        <v>45508</v>
      </c>
      <c r="B852" t="s">
        <v>240</v>
      </c>
      <c r="C852" t="s">
        <v>1052</v>
      </c>
      <c r="D852" t="s">
        <v>1345</v>
      </c>
      <c r="E852" t="s">
        <v>1346</v>
      </c>
      <c r="F852" t="s">
        <v>1354</v>
      </c>
      <c r="G852" t="s">
        <v>1363</v>
      </c>
      <c r="H852" s="5">
        <v>38</v>
      </c>
      <c r="I852" s="9">
        <v>3499</v>
      </c>
      <c r="J852" s="9">
        <f t="shared" si="13"/>
        <v>132962</v>
      </c>
      <c r="K852" t="s">
        <v>1378</v>
      </c>
      <c r="L852" t="s">
        <v>1384</v>
      </c>
    </row>
    <row r="853" spans="1:12" x14ac:dyDescent="0.25">
      <c r="A853" s="3">
        <v>45404</v>
      </c>
      <c r="B853" t="s">
        <v>836</v>
      </c>
      <c r="C853" t="s">
        <v>1053</v>
      </c>
      <c r="D853" t="s">
        <v>1389</v>
      </c>
      <c r="E853" t="s">
        <v>1347</v>
      </c>
      <c r="F853" t="s">
        <v>1351</v>
      </c>
      <c r="G853" t="s">
        <v>1357</v>
      </c>
      <c r="H853" s="5">
        <v>3</v>
      </c>
      <c r="I853" s="9">
        <v>199</v>
      </c>
      <c r="J853" s="9">
        <f t="shared" si="13"/>
        <v>597</v>
      </c>
      <c r="K853" t="s">
        <v>1379</v>
      </c>
      <c r="L853" t="s">
        <v>1380</v>
      </c>
    </row>
    <row r="854" spans="1:12" x14ac:dyDescent="0.25">
      <c r="A854" s="3">
        <v>45583</v>
      </c>
      <c r="B854" t="s">
        <v>443</v>
      </c>
      <c r="C854" t="s">
        <v>1264</v>
      </c>
      <c r="D854" t="s">
        <v>1344</v>
      </c>
      <c r="E854" t="s">
        <v>1347</v>
      </c>
      <c r="F854" t="s">
        <v>1355</v>
      </c>
      <c r="G854" t="s">
        <v>1374</v>
      </c>
      <c r="H854" s="5">
        <v>8</v>
      </c>
      <c r="I854" s="9">
        <v>3499</v>
      </c>
      <c r="J854" s="9">
        <f t="shared" si="13"/>
        <v>27992</v>
      </c>
      <c r="K854" t="s">
        <v>1377</v>
      </c>
      <c r="L854" t="s">
        <v>1384</v>
      </c>
    </row>
    <row r="855" spans="1:12" x14ac:dyDescent="0.25">
      <c r="A855" s="3">
        <v>45511</v>
      </c>
      <c r="B855" t="s">
        <v>461</v>
      </c>
      <c r="C855" t="s">
        <v>1094</v>
      </c>
      <c r="D855" t="s">
        <v>1345</v>
      </c>
      <c r="E855" t="s">
        <v>1348</v>
      </c>
      <c r="F855" t="s">
        <v>1354</v>
      </c>
      <c r="G855" t="s">
        <v>1363</v>
      </c>
      <c r="H855" s="5">
        <v>8</v>
      </c>
      <c r="I855" s="9">
        <v>1499</v>
      </c>
      <c r="J855" s="9">
        <f t="shared" si="13"/>
        <v>11992</v>
      </c>
      <c r="K855" t="s">
        <v>1377</v>
      </c>
      <c r="L855" t="s">
        <v>1381</v>
      </c>
    </row>
    <row r="856" spans="1:12" x14ac:dyDescent="0.25">
      <c r="A856" s="3">
        <v>45451</v>
      </c>
      <c r="B856" t="s">
        <v>813</v>
      </c>
      <c r="C856" t="s">
        <v>1269</v>
      </c>
      <c r="D856" t="s">
        <v>1389</v>
      </c>
      <c r="E856" t="s">
        <v>1347</v>
      </c>
      <c r="F856" t="s">
        <v>1354</v>
      </c>
      <c r="G856" t="s">
        <v>1361</v>
      </c>
      <c r="H856" s="5">
        <v>43</v>
      </c>
      <c r="I856" s="9">
        <v>3499</v>
      </c>
      <c r="J856" s="9">
        <f t="shared" si="13"/>
        <v>150457</v>
      </c>
      <c r="K856" t="s">
        <v>1379</v>
      </c>
      <c r="L856" t="s">
        <v>1382</v>
      </c>
    </row>
    <row r="857" spans="1:12" x14ac:dyDescent="0.25">
      <c r="A857" s="3">
        <v>45493</v>
      </c>
      <c r="B857" t="s">
        <v>914</v>
      </c>
      <c r="C857" t="s">
        <v>1077</v>
      </c>
      <c r="D857" t="s">
        <v>1344</v>
      </c>
      <c r="E857" t="s">
        <v>1346</v>
      </c>
      <c r="F857" t="s">
        <v>1353</v>
      </c>
      <c r="G857" t="s">
        <v>1359</v>
      </c>
      <c r="H857" s="5">
        <v>31</v>
      </c>
      <c r="I857" s="9">
        <v>1499</v>
      </c>
      <c r="J857" s="9">
        <f t="shared" si="13"/>
        <v>46469</v>
      </c>
      <c r="K857" t="s">
        <v>1377</v>
      </c>
      <c r="L857" t="s">
        <v>1380</v>
      </c>
    </row>
    <row r="858" spans="1:12" x14ac:dyDescent="0.25">
      <c r="A858" s="3">
        <v>45327</v>
      </c>
      <c r="B858" t="s">
        <v>856</v>
      </c>
      <c r="C858" t="s">
        <v>1144</v>
      </c>
      <c r="D858" t="s">
        <v>1344</v>
      </c>
      <c r="E858" t="s">
        <v>1347</v>
      </c>
      <c r="F858" t="s">
        <v>1353</v>
      </c>
      <c r="G858" t="s">
        <v>1359</v>
      </c>
      <c r="H858" s="5">
        <v>49</v>
      </c>
      <c r="I858" s="9">
        <v>1499</v>
      </c>
      <c r="J858" s="9">
        <f t="shared" si="13"/>
        <v>73451</v>
      </c>
      <c r="K858" t="s">
        <v>1379</v>
      </c>
      <c r="L858" t="s">
        <v>1380</v>
      </c>
    </row>
    <row r="859" spans="1:12" x14ac:dyDescent="0.25">
      <c r="A859" s="3">
        <v>45541</v>
      </c>
      <c r="B859" t="s">
        <v>279</v>
      </c>
      <c r="C859" t="s">
        <v>1201</v>
      </c>
      <c r="D859" t="s">
        <v>1345</v>
      </c>
      <c r="E859" t="s">
        <v>1346</v>
      </c>
      <c r="F859" t="s">
        <v>1354</v>
      </c>
      <c r="G859" t="s">
        <v>1363</v>
      </c>
      <c r="H859" s="5">
        <v>8</v>
      </c>
      <c r="I859" s="9">
        <v>199</v>
      </c>
      <c r="J859" s="9">
        <f t="shared" si="13"/>
        <v>1592</v>
      </c>
      <c r="K859" t="s">
        <v>1377</v>
      </c>
      <c r="L859" t="s">
        <v>1383</v>
      </c>
    </row>
    <row r="860" spans="1:12" x14ac:dyDescent="0.25">
      <c r="A860" s="3">
        <v>45448</v>
      </c>
      <c r="B860" t="s">
        <v>283</v>
      </c>
      <c r="C860" t="s">
        <v>1203</v>
      </c>
      <c r="D860" t="s">
        <v>1344</v>
      </c>
      <c r="E860" t="s">
        <v>1347</v>
      </c>
      <c r="F860" t="s">
        <v>1353</v>
      </c>
      <c r="G860" t="s">
        <v>1365</v>
      </c>
      <c r="H860" s="5">
        <v>26</v>
      </c>
      <c r="I860" s="9">
        <v>1999</v>
      </c>
      <c r="J860" s="9">
        <f t="shared" si="13"/>
        <v>51974</v>
      </c>
      <c r="K860" t="s">
        <v>1376</v>
      </c>
      <c r="L860" t="s">
        <v>1382</v>
      </c>
    </row>
    <row r="861" spans="1:12" x14ac:dyDescent="0.25">
      <c r="A861" s="3">
        <v>45303</v>
      </c>
      <c r="B861" t="s">
        <v>95</v>
      </c>
      <c r="C861" t="s">
        <v>1095</v>
      </c>
      <c r="D861" t="s">
        <v>1344</v>
      </c>
      <c r="E861" t="s">
        <v>1349</v>
      </c>
      <c r="F861" t="s">
        <v>1351</v>
      </c>
      <c r="G861" t="s">
        <v>1356</v>
      </c>
      <c r="H861" s="5">
        <v>9</v>
      </c>
      <c r="I861" s="9">
        <v>2499</v>
      </c>
      <c r="J861" s="9">
        <f t="shared" si="13"/>
        <v>22491</v>
      </c>
      <c r="K861" t="s">
        <v>1379</v>
      </c>
      <c r="L861" t="s">
        <v>1380</v>
      </c>
    </row>
    <row r="862" spans="1:12" x14ac:dyDescent="0.25">
      <c r="A862" s="3">
        <v>45585</v>
      </c>
      <c r="B862" t="s">
        <v>51</v>
      </c>
      <c r="C862" t="s">
        <v>1061</v>
      </c>
      <c r="D862" t="s">
        <v>1344</v>
      </c>
      <c r="E862" t="s">
        <v>1346</v>
      </c>
      <c r="F862" t="s">
        <v>1353</v>
      </c>
      <c r="G862" t="s">
        <v>1369</v>
      </c>
      <c r="H862" s="5">
        <v>2</v>
      </c>
      <c r="I862" s="9">
        <v>1499</v>
      </c>
      <c r="J862" s="9">
        <f t="shared" si="13"/>
        <v>2998</v>
      </c>
      <c r="K862" t="s">
        <v>1376</v>
      </c>
      <c r="L862" t="s">
        <v>1382</v>
      </c>
    </row>
    <row r="863" spans="1:12" x14ac:dyDescent="0.25">
      <c r="A863" s="3">
        <v>45554</v>
      </c>
      <c r="B863" t="s">
        <v>902</v>
      </c>
      <c r="C863" t="s">
        <v>1045</v>
      </c>
      <c r="D863" t="s">
        <v>1345</v>
      </c>
      <c r="E863" t="s">
        <v>1349</v>
      </c>
      <c r="F863" t="s">
        <v>1351</v>
      </c>
      <c r="G863" t="s">
        <v>1356</v>
      </c>
      <c r="H863" s="5">
        <v>11</v>
      </c>
      <c r="I863" s="9">
        <v>199</v>
      </c>
      <c r="J863" s="9">
        <f t="shared" si="13"/>
        <v>2189</v>
      </c>
      <c r="K863" t="s">
        <v>1379</v>
      </c>
      <c r="L863" t="s">
        <v>1384</v>
      </c>
    </row>
    <row r="864" spans="1:12" x14ac:dyDescent="0.25">
      <c r="A864" s="3">
        <v>45622</v>
      </c>
      <c r="B864" t="s">
        <v>591</v>
      </c>
      <c r="C864" t="s">
        <v>1154</v>
      </c>
      <c r="D864" t="s">
        <v>1345</v>
      </c>
      <c r="E864" t="s">
        <v>1349</v>
      </c>
      <c r="F864" t="s">
        <v>1355</v>
      </c>
      <c r="G864" t="s">
        <v>1360</v>
      </c>
      <c r="H864" s="5">
        <v>3</v>
      </c>
      <c r="I864" s="9">
        <v>499</v>
      </c>
      <c r="J864" s="9">
        <f t="shared" si="13"/>
        <v>1497</v>
      </c>
      <c r="K864" t="s">
        <v>1378</v>
      </c>
      <c r="L864" t="s">
        <v>1382</v>
      </c>
    </row>
    <row r="865" spans="1:12" x14ac:dyDescent="0.25">
      <c r="A865" s="3">
        <v>45559</v>
      </c>
      <c r="B865" t="s">
        <v>359</v>
      </c>
      <c r="C865" t="s">
        <v>1235</v>
      </c>
      <c r="D865" t="s">
        <v>1344</v>
      </c>
      <c r="E865" t="s">
        <v>1347</v>
      </c>
      <c r="F865" t="s">
        <v>1351</v>
      </c>
      <c r="G865" t="s">
        <v>1371</v>
      </c>
      <c r="H865" s="5">
        <v>35</v>
      </c>
      <c r="I865" s="9">
        <v>2499</v>
      </c>
      <c r="J865" s="9">
        <f t="shared" si="13"/>
        <v>87465</v>
      </c>
      <c r="K865" t="s">
        <v>1378</v>
      </c>
      <c r="L865" t="s">
        <v>1381</v>
      </c>
    </row>
    <row r="866" spans="1:12" x14ac:dyDescent="0.25">
      <c r="A866" s="3">
        <v>45433</v>
      </c>
      <c r="B866" t="s">
        <v>900</v>
      </c>
      <c r="C866" t="s">
        <v>1036</v>
      </c>
      <c r="D866" t="s">
        <v>1344</v>
      </c>
      <c r="E866" t="s">
        <v>1350</v>
      </c>
      <c r="F866" t="s">
        <v>1355</v>
      </c>
      <c r="G866" t="s">
        <v>1360</v>
      </c>
      <c r="H866" s="5">
        <v>48</v>
      </c>
      <c r="I866" s="9">
        <v>999</v>
      </c>
      <c r="J866" s="9">
        <f t="shared" si="13"/>
        <v>47952</v>
      </c>
      <c r="K866" t="s">
        <v>1379</v>
      </c>
      <c r="L866" t="s">
        <v>1384</v>
      </c>
    </row>
    <row r="867" spans="1:12" x14ac:dyDescent="0.25">
      <c r="A867" s="3">
        <v>45648</v>
      </c>
      <c r="B867" t="s">
        <v>802</v>
      </c>
      <c r="C867" t="s">
        <v>1113</v>
      </c>
      <c r="D867" t="s">
        <v>1345</v>
      </c>
      <c r="E867" t="s">
        <v>1347</v>
      </c>
      <c r="F867" t="s">
        <v>1355</v>
      </c>
      <c r="G867" t="s">
        <v>1374</v>
      </c>
      <c r="H867" s="5">
        <v>41</v>
      </c>
      <c r="I867" s="9">
        <v>1999</v>
      </c>
      <c r="J867" s="9">
        <f t="shared" si="13"/>
        <v>81959</v>
      </c>
      <c r="K867" t="s">
        <v>1378</v>
      </c>
      <c r="L867" t="s">
        <v>1382</v>
      </c>
    </row>
    <row r="868" spans="1:12" x14ac:dyDescent="0.25">
      <c r="A868" s="3">
        <v>45375</v>
      </c>
      <c r="B868" t="s">
        <v>531</v>
      </c>
      <c r="C868" t="s">
        <v>1290</v>
      </c>
      <c r="D868" t="s">
        <v>1345</v>
      </c>
      <c r="E868" t="s">
        <v>1349</v>
      </c>
      <c r="F868" t="s">
        <v>1352</v>
      </c>
      <c r="G868" t="s">
        <v>1364</v>
      </c>
      <c r="H868" s="5">
        <v>47</v>
      </c>
      <c r="I868" s="9">
        <v>199</v>
      </c>
      <c r="J868" s="9">
        <f t="shared" si="13"/>
        <v>9353</v>
      </c>
      <c r="K868" t="s">
        <v>1379</v>
      </c>
      <c r="L868" t="s">
        <v>1383</v>
      </c>
    </row>
    <row r="869" spans="1:12" x14ac:dyDescent="0.25">
      <c r="A869" s="3">
        <v>45577</v>
      </c>
      <c r="B869" t="s">
        <v>778</v>
      </c>
      <c r="C869" t="s">
        <v>1149</v>
      </c>
      <c r="D869" t="s">
        <v>1389</v>
      </c>
      <c r="E869" t="s">
        <v>1348</v>
      </c>
      <c r="F869" t="s">
        <v>1354</v>
      </c>
      <c r="G869" t="s">
        <v>1366</v>
      </c>
      <c r="H869" s="5">
        <v>7</v>
      </c>
      <c r="I869" s="9">
        <v>1749</v>
      </c>
      <c r="J869" s="9">
        <f t="shared" si="13"/>
        <v>12243</v>
      </c>
      <c r="K869" t="s">
        <v>1379</v>
      </c>
      <c r="L869" t="s">
        <v>1384</v>
      </c>
    </row>
    <row r="870" spans="1:12" x14ac:dyDescent="0.25">
      <c r="A870" s="3">
        <v>45357</v>
      </c>
      <c r="B870" t="s">
        <v>78</v>
      </c>
      <c r="C870" t="s">
        <v>1083</v>
      </c>
      <c r="D870" t="s">
        <v>1345</v>
      </c>
      <c r="E870" t="s">
        <v>1348</v>
      </c>
      <c r="F870" t="s">
        <v>1352</v>
      </c>
      <c r="G870" t="s">
        <v>1364</v>
      </c>
      <c r="H870" s="5">
        <v>24</v>
      </c>
      <c r="I870" s="9">
        <v>1999</v>
      </c>
      <c r="J870" s="9">
        <f t="shared" si="13"/>
        <v>47976</v>
      </c>
      <c r="K870" t="s">
        <v>1379</v>
      </c>
      <c r="L870" t="s">
        <v>1380</v>
      </c>
    </row>
    <row r="871" spans="1:12" x14ac:dyDescent="0.25">
      <c r="A871" s="3">
        <v>45364</v>
      </c>
      <c r="B871" t="s">
        <v>218</v>
      </c>
      <c r="C871" t="s">
        <v>1170</v>
      </c>
      <c r="D871" t="s">
        <v>1345</v>
      </c>
      <c r="E871" t="s">
        <v>1347</v>
      </c>
      <c r="F871" t="s">
        <v>1352</v>
      </c>
      <c r="G871" t="s">
        <v>1358</v>
      </c>
      <c r="H871" s="5">
        <v>11</v>
      </c>
      <c r="I871" s="9">
        <v>199</v>
      </c>
      <c r="J871" s="9">
        <f t="shared" si="13"/>
        <v>2189</v>
      </c>
      <c r="K871" t="s">
        <v>1377</v>
      </c>
      <c r="L871" t="s">
        <v>1381</v>
      </c>
    </row>
    <row r="872" spans="1:12" x14ac:dyDescent="0.25">
      <c r="A872" s="3">
        <v>45354</v>
      </c>
      <c r="B872" t="s">
        <v>979</v>
      </c>
      <c r="C872" t="s">
        <v>1341</v>
      </c>
      <c r="D872" t="s">
        <v>1345</v>
      </c>
      <c r="E872" t="s">
        <v>1347</v>
      </c>
      <c r="F872" t="s">
        <v>1351</v>
      </c>
      <c r="G872" t="s">
        <v>1357</v>
      </c>
      <c r="H872" s="5">
        <v>47</v>
      </c>
      <c r="I872" s="9">
        <v>3499</v>
      </c>
      <c r="J872" s="9">
        <f t="shared" si="13"/>
        <v>164453</v>
      </c>
      <c r="K872" t="s">
        <v>1379</v>
      </c>
      <c r="L872" t="s">
        <v>1382</v>
      </c>
    </row>
    <row r="873" spans="1:12" x14ac:dyDescent="0.25">
      <c r="A873" s="3">
        <v>45300</v>
      </c>
      <c r="B873" t="s">
        <v>457</v>
      </c>
      <c r="C873" t="s">
        <v>1088</v>
      </c>
      <c r="D873" t="s">
        <v>1344</v>
      </c>
      <c r="E873" t="s">
        <v>1350</v>
      </c>
      <c r="F873" t="s">
        <v>1353</v>
      </c>
      <c r="G873" t="s">
        <v>1359</v>
      </c>
      <c r="H873" s="5">
        <v>44</v>
      </c>
      <c r="I873" s="9">
        <v>999</v>
      </c>
      <c r="J873" s="9">
        <f t="shared" si="13"/>
        <v>43956</v>
      </c>
      <c r="K873" t="s">
        <v>1379</v>
      </c>
      <c r="L873" t="s">
        <v>1381</v>
      </c>
    </row>
    <row r="874" spans="1:12" x14ac:dyDescent="0.25">
      <c r="A874" s="3">
        <v>45456</v>
      </c>
      <c r="B874" t="s">
        <v>463</v>
      </c>
      <c r="C874" t="s">
        <v>1216</v>
      </c>
      <c r="D874" t="s">
        <v>1344</v>
      </c>
      <c r="E874" t="s">
        <v>1349</v>
      </c>
      <c r="F874" t="s">
        <v>1355</v>
      </c>
      <c r="G874" t="s">
        <v>1374</v>
      </c>
      <c r="H874" s="5">
        <v>5</v>
      </c>
      <c r="I874" s="9">
        <v>1499</v>
      </c>
      <c r="J874" s="9">
        <f t="shared" si="13"/>
        <v>7495</v>
      </c>
      <c r="K874" t="s">
        <v>1377</v>
      </c>
      <c r="L874" t="s">
        <v>1380</v>
      </c>
    </row>
    <row r="875" spans="1:12" x14ac:dyDescent="0.25">
      <c r="A875" s="3">
        <v>45580</v>
      </c>
      <c r="B875" t="s">
        <v>606</v>
      </c>
      <c r="C875" t="s">
        <v>1031</v>
      </c>
      <c r="D875" t="s">
        <v>1344</v>
      </c>
      <c r="E875" t="s">
        <v>1349</v>
      </c>
      <c r="F875" t="s">
        <v>1354</v>
      </c>
      <c r="G875" t="s">
        <v>1363</v>
      </c>
      <c r="H875" s="5">
        <v>26</v>
      </c>
      <c r="I875" s="9">
        <v>3499</v>
      </c>
      <c r="J875" s="9">
        <f t="shared" si="13"/>
        <v>90974</v>
      </c>
      <c r="K875" t="s">
        <v>1379</v>
      </c>
      <c r="L875" t="s">
        <v>1380</v>
      </c>
    </row>
    <row r="876" spans="1:12" x14ac:dyDescent="0.25">
      <c r="A876" s="3">
        <v>45646</v>
      </c>
      <c r="B876" t="s">
        <v>597</v>
      </c>
      <c r="C876" t="s">
        <v>1272</v>
      </c>
      <c r="D876" t="s">
        <v>1344</v>
      </c>
      <c r="E876" t="s">
        <v>1348</v>
      </c>
      <c r="F876" t="s">
        <v>1353</v>
      </c>
      <c r="G876" t="s">
        <v>1367</v>
      </c>
      <c r="H876" s="5">
        <v>28</v>
      </c>
      <c r="I876" s="9">
        <v>2499</v>
      </c>
      <c r="J876" s="9">
        <f t="shared" si="13"/>
        <v>69972</v>
      </c>
      <c r="K876" t="s">
        <v>1378</v>
      </c>
      <c r="L876" t="s">
        <v>1384</v>
      </c>
    </row>
    <row r="877" spans="1:12" x14ac:dyDescent="0.25">
      <c r="A877" s="3">
        <v>45516</v>
      </c>
      <c r="B877" t="s">
        <v>421</v>
      </c>
      <c r="C877" t="s">
        <v>1032</v>
      </c>
      <c r="D877" t="s">
        <v>1344</v>
      </c>
      <c r="E877" t="s">
        <v>1350</v>
      </c>
      <c r="F877" t="s">
        <v>1352</v>
      </c>
      <c r="G877" t="s">
        <v>1368</v>
      </c>
      <c r="H877" s="5">
        <v>39</v>
      </c>
      <c r="I877" s="9">
        <v>1499</v>
      </c>
      <c r="J877" s="9">
        <f t="shared" si="13"/>
        <v>58461</v>
      </c>
      <c r="K877" t="s">
        <v>1379</v>
      </c>
      <c r="L877" t="s">
        <v>1382</v>
      </c>
    </row>
    <row r="878" spans="1:12" x14ac:dyDescent="0.25">
      <c r="A878" s="3">
        <v>45478</v>
      </c>
      <c r="B878" t="s">
        <v>561</v>
      </c>
      <c r="C878" t="s">
        <v>1244</v>
      </c>
      <c r="D878" t="s">
        <v>1345</v>
      </c>
      <c r="E878" t="s">
        <v>1350</v>
      </c>
      <c r="F878" t="s">
        <v>1352</v>
      </c>
      <c r="G878" t="s">
        <v>1368</v>
      </c>
      <c r="H878" s="5">
        <v>17</v>
      </c>
      <c r="I878" s="9">
        <v>2499</v>
      </c>
      <c r="J878" s="9">
        <f t="shared" si="13"/>
        <v>42483</v>
      </c>
      <c r="K878" t="s">
        <v>1376</v>
      </c>
      <c r="L878" t="s">
        <v>1380</v>
      </c>
    </row>
    <row r="879" spans="1:12" x14ac:dyDescent="0.25">
      <c r="A879" s="3">
        <v>45492</v>
      </c>
      <c r="B879" t="s">
        <v>904</v>
      </c>
      <c r="C879" t="s">
        <v>1095</v>
      </c>
      <c r="D879" t="s">
        <v>1344</v>
      </c>
      <c r="E879" t="s">
        <v>1350</v>
      </c>
      <c r="F879" t="s">
        <v>1355</v>
      </c>
      <c r="G879" t="s">
        <v>1373</v>
      </c>
      <c r="H879" s="5">
        <v>24</v>
      </c>
      <c r="I879" s="9">
        <v>499</v>
      </c>
      <c r="J879" s="9">
        <f t="shared" si="13"/>
        <v>11976</v>
      </c>
      <c r="K879" t="s">
        <v>1376</v>
      </c>
      <c r="L879" t="s">
        <v>1384</v>
      </c>
    </row>
    <row r="880" spans="1:12" x14ac:dyDescent="0.25">
      <c r="A880" s="3">
        <v>45371</v>
      </c>
      <c r="B880" t="s">
        <v>500</v>
      </c>
      <c r="C880" t="s">
        <v>1285</v>
      </c>
      <c r="D880" t="s">
        <v>1345</v>
      </c>
      <c r="E880" t="s">
        <v>1346</v>
      </c>
      <c r="F880" t="s">
        <v>1354</v>
      </c>
      <c r="G880" t="s">
        <v>1366</v>
      </c>
      <c r="H880" s="5">
        <v>11</v>
      </c>
      <c r="I880" s="9">
        <v>499</v>
      </c>
      <c r="J880" s="9">
        <f t="shared" si="13"/>
        <v>5489</v>
      </c>
      <c r="K880" t="s">
        <v>1379</v>
      </c>
      <c r="L880" t="s">
        <v>1383</v>
      </c>
    </row>
    <row r="881" spans="1:12" x14ac:dyDescent="0.25">
      <c r="A881" s="3">
        <v>45343</v>
      </c>
      <c r="B881" t="s">
        <v>203</v>
      </c>
      <c r="C881" t="s">
        <v>1059</v>
      </c>
      <c r="D881" t="s">
        <v>1389</v>
      </c>
      <c r="E881" t="s">
        <v>1349</v>
      </c>
      <c r="F881" t="s">
        <v>1353</v>
      </c>
      <c r="G881" t="s">
        <v>1367</v>
      </c>
      <c r="H881" s="5">
        <v>48</v>
      </c>
      <c r="I881" s="9">
        <v>499</v>
      </c>
      <c r="J881" s="9">
        <f t="shared" si="13"/>
        <v>23952</v>
      </c>
      <c r="K881" t="s">
        <v>1377</v>
      </c>
      <c r="L881" t="s">
        <v>1382</v>
      </c>
    </row>
    <row r="882" spans="1:12" x14ac:dyDescent="0.25">
      <c r="A882" s="3">
        <v>45333</v>
      </c>
      <c r="B882" t="s">
        <v>523</v>
      </c>
      <c r="C882" t="s">
        <v>1158</v>
      </c>
      <c r="D882" t="s">
        <v>1389</v>
      </c>
      <c r="E882" t="s">
        <v>1347</v>
      </c>
      <c r="F882" t="s">
        <v>1353</v>
      </c>
      <c r="G882" t="s">
        <v>1369</v>
      </c>
      <c r="H882" s="5">
        <v>23</v>
      </c>
      <c r="I882" s="9">
        <v>1499</v>
      </c>
      <c r="J882" s="9">
        <f t="shared" si="13"/>
        <v>34477</v>
      </c>
      <c r="K882" t="s">
        <v>1378</v>
      </c>
      <c r="L882" t="s">
        <v>1382</v>
      </c>
    </row>
    <row r="883" spans="1:12" x14ac:dyDescent="0.25">
      <c r="A883" s="3">
        <v>45553</v>
      </c>
      <c r="B883" t="s">
        <v>116</v>
      </c>
      <c r="C883" t="s">
        <v>1110</v>
      </c>
      <c r="D883" t="s">
        <v>1389</v>
      </c>
      <c r="E883" t="s">
        <v>1349</v>
      </c>
      <c r="F883" t="s">
        <v>1354</v>
      </c>
      <c r="G883" t="s">
        <v>1362</v>
      </c>
      <c r="H883" s="5">
        <v>3</v>
      </c>
      <c r="I883" s="9">
        <v>1999</v>
      </c>
      <c r="J883" s="9">
        <f t="shared" si="13"/>
        <v>5997</v>
      </c>
      <c r="K883" t="s">
        <v>1379</v>
      </c>
      <c r="L883" t="s">
        <v>1384</v>
      </c>
    </row>
    <row r="884" spans="1:12" x14ac:dyDescent="0.25">
      <c r="A884" s="3">
        <v>45404</v>
      </c>
      <c r="B884" t="s">
        <v>956</v>
      </c>
      <c r="C884" t="s">
        <v>1308</v>
      </c>
      <c r="D884" t="s">
        <v>1344</v>
      </c>
      <c r="E884" t="s">
        <v>1349</v>
      </c>
      <c r="F884" t="s">
        <v>1352</v>
      </c>
      <c r="G884" t="s">
        <v>1368</v>
      </c>
      <c r="H884" s="5">
        <v>13</v>
      </c>
      <c r="I884" s="9">
        <v>499</v>
      </c>
      <c r="J884" s="9">
        <f t="shared" si="13"/>
        <v>6487</v>
      </c>
      <c r="K884" t="s">
        <v>1378</v>
      </c>
      <c r="L884" t="s">
        <v>1384</v>
      </c>
    </row>
    <row r="885" spans="1:12" x14ac:dyDescent="0.25">
      <c r="A885" s="3">
        <v>45606</v>
      </c>
      <c r="B885" t="s">
        <v>734</v>
      </c>
      <c r="C885" t="s">
        <v>1322</v>
      </c>
      <c r="D885" t="s">
        <v>1389</v>
      </c>
      <c r="E885" t="s">
        <v>1348</v>
      </c>
      <c r="F885" t="s">
        <v>1351</v>
      </c>
      <c r="G885" t="s">
        <v>1356</v>
      </c>
      <c r="H885" s="5">
        <v>33</v>
      </c>
      <c r="I885" s="9">
        <v>1999</v>
      </c>
      <c r="J885" s="9">
        <f t="shared" si="13"/>
        <v>65967</v>
      </c>
      <c r="K885" t="s">
        <v>1379</v>
      </c>
      <c r="L885" t="s">
        <v>1382</v>
      </c>
    </row>
    <row r="886" spans="1:12" x14ac:dyDescent="0.25">
      <c r="A886" s="3">
        <v>45299</v>
      </c>
      <c r="B886" t="s">
        <v>673</v>
      </c>
      <c r="C886" t="s">
        <v>1305</v>
      </c>
      <c r="D886" t="s">
        <v>1345</v>
      </c>
      <c r="E886" t="s">
        <v>1349</v>
      </c>
      <c r="F886" t="s">
        <v>1354</v>
      </c>
      <c r="G886" t="s">
        <v>1362</v>
      </c>
      <c r="H886" s="5">
        <v>33</v>
      </c>
      <c r="I886" s="9">
        <v>499</v>
      </c>
      <c r="J886" s="9">
        <f t="shared" si="13"/>
        <v>16467</v>
      </c>
      <c r="K886" t="s">
        <v>1379</v>
      </c>
      <c r="L886" t="s">
        <v>1382</v>
      </c>
    </row>
    <row r="887" spans="1:12" x14ac:dyDescent="0.25">
      <c r="A887" s="3">
        <v>45428</v>
      </c>
      <c r="B887" t="s">
        <v>862</v>
      </c>
      <c r="C887" t="s">
        <v>1280</v>
      </c>
      <c r="D887" t="s">
        <v>1344</v>
      </c>
      <c r="E887" t="s">
        <v>1349</v>
      </c>
      <c r="F887" t="s">
        <v>1352</v>
      </c>
      <c r="G887" t="s">
        <v>1358</v>
      </c>
      <c r="H887" s="5">
        <v>24</v>
      </c>
      <c r="I887" s="9">
        <v>2499</v>
      </c>
      <c r="J887" s="9">
        <f t="shared" si="13"/>
        <v>59976</v>
      </c>
      <c r="K887" t="s">
        <v>1379</v>
      </c>
      <c r="L887" t="s">
        <v>1380</v>
      </c>
    </row>
    <row r="888" spans="1:12" x14ac:dyDescent="0.25">
      <c r="A888" s="3">
        <v>45641</v>
      </c>
      <c r="B888" t="s">
        <v>711</v>
      </c>
      <c r="C888" t="s">
        <v>1286</v>
      </c>
      <c r="D888" t="s">
        <v>1389</v>
      </c>
      <c r="E888" t="s">
        <v>1349</v>
      </c>
      <c r="F888" t="s">
        <v>1351</v>
      </c>
      <c r="G888" t="s">
        <v>1356</v>
      </c>
      <c r="H888" s="5">
        <v>11</v>
      </c>
      <c r="I888" s="9">
        <v>3499</v>
      </c>
      <c r="J888" s="9">
        <f t="shared" si="13"/>
        <v>38489</v>
      </c>
      <c r="K888" t="s">
        <v>1377</v>
      </c>
      <c r="L888" t="s">
        <v>1384</v>
      </c>
    </row>
    <row r="889" spans="1:12" x14ac:dyDescent="0.25">
      <c r="A889" s="3">
        <v>45618</v>
      </c>
      <c r="B889" t="s">
        <v>756</v>
      </c>
      <c r="C889" t="s">
        <v>1152</v>
      </c>
      <c r="D889" t="s">
        <v>1344</v>
      </c>
      <c r="E889" t="s">
        <v>1349</v>
      </c>
      <c r="F889" t="s">
        <v>1355</v>
      </c>
      <c r="G889" t="s">
        <v>1372</v>
      </c>
      <c r="H889" s="5">
        <v>2</v>
      </c>
      <c r="I889" s="9">
        <v>999</v>
      </c>
      <c r="J889" s="9">
        <f t="shared" si="13"/>
        <v>1998</v>
      </c>
      <c r="K889" t="s">
        <v>1376</v>
      </c>
      <c r="L889" t="s">
        <v>1383</v>
      </c>
    </row>
    <row r="890" spans="1:12" x14ac:dyDescent="0.25">
      <c r="A890" s="3">
        <v>45432</v>
      </c>
      <c r="B890" t="s">
        <v>544</v>
      </c>
      <c r="C890" t="s">
        <v>1240</v>
      </c>
      <c r="D890" t="s">
        <v>1345</v>
      </c>
      <c r="E890" t="s">
        <v>1347</v>
      </c>
      <c r="F890" t="s">
        <v>1354</v>
      </c>
      <c r="G890" t="s">
        <v>1363</v>
      </c>
      <c r="H890" s="5">
        <v>22</v>
      </c>
      <c r="I890" s="9">
        <v>1999</v>
      </c>
      <c r="J890" s="9">
        <f t="shared" si="13"/>
        <v>43978</v>
      </c>
      <c r="K890" t="s">
        <v>1378</v>
      </c>
      <c r="L890" t="s">
        <v>1384</v>
      </c>
    </row>
    <row r="891" spans="1:12" x14ac:dyDescent="0.25">
      <c r="A891" s="3">
        <v>45538</v>
      </c>
      <c r="B891" t="s">
        <v>750</v>
      </c>
      <c r="C891" t="s">
        <v>1120</v>
      </c>
      <c r="D891" t="s">
        <v>1345</v>
      </c>
      <c r="E891" t="s">
        <v>1350</v>
      </c>
      <c r="F891" t="s">
        <v>1351</v>
      </c>
      <c r="G891" t="s">
        <v>1371</v>
      </c>
      <c r="H891" s="5">
        <v>31</v>
      </c>
      <c r="I891" s="9">
        <v>2499</v>
      </c>
      <c r="J891" s="9">
        <f t="shared" si="13"/>
        <v>77469</v>
      </c>
      <c r="K891" t="s">
        <v>1377</v>
      </c>
      <c r="L891" t="s">
        <v>1382</v>
      </c>
    </row>
    <row r="892" spans="1:12" x14ac:dyDescent="0.25">
      <c r="A892" s="3">
        <v>45455</v>
      </c>
      <c r="B892" t="s">
        <v>356</v>
      </c>
      <c r="C892" t="s">
        <v>1097</v>
      </c>
      <c r="D892" t="s">
        <v>1389</v>
      </c>
      <c r="E892" t="s">
        <v>1348</v>
      </c>
      <c r="F892" t="s">
        <v>1351</v>
      </c>
      <c r="G892" t="s">
        <v>1370</v>
      </c>
      <c r="H892" s="5">
        <v>30</v>
      </c>
      <c r="I892" s="9">
        <v>3499</v>
      </c>
      <c r="J892" s="9">
        <f t="shared" si="13"/>
        <v>104970</v>
      </c>
      <c r="K892" t="s">
        <v>1377</v>
      </c>
      <c r="L892" t="s">
        <v>1380</v>
      </c>
    </row>
    <row r="893" spans="1:12" x14ac:dyDescent="0.25">
      <c r="A893" s="3">
        <v>45593</v>
      </c>
      <c r="B893" t="s">
        <v>974</v>
      </c>
      <c r="C893" t="s">
        <v>1154</v>
      </c>
      <c r="D893" t="s">
        <v>1389</v>
      </c>
      <c r="E893" t="s">
        <v>1349</v>
      </c>
      <c r="F893" t="s">
        <v>1351</v>
      </c>
      <c r="G893" t="s">
        <v>1356</v>
      </c>
      <c r="H893" s="5">
        <v>42</v>
      </c>
      <c r="I893" s="9">
        <v>2999</v>
      </c>
      <c r="J893" s="9">
        <f t="shared" si="13"/>
        <v>125958</v>
      </c>
      <c r="K893" t="s">
        <v>1379</v>
      </c>
      <c r="L893" t="s">
        <v>1384</v>
      </c>
    </row>
    <row r="894" spans="1:12" x14ac:dyDescent="0.25">
      <c r="A894" s="3">
        <v>45652</v>
      </c>
      <c r="B894" t="s">
        <v>811</v>
      </c>
      <c r="C894" t="s">
        <v>1133</v>
      </c>
      <c r="D894" t="s">
        <v>1344</v>
      </c>
      <c r="E894" t="s">
        <v>1349</v>
      </c>
      <c r="F894" t="s">
        <v>1354</v>
      </c>
      <c r="G894" t="s">
        <v>1361</v>
      </c>
      <c r="H894" s="5">
        <v>35</v>
      </c>
      <c r="I894" s="9">
        <v>3499</v>
      </c>
      <c r="J894" s="9">
        <f t="shared" si="13"/>
        <v>122465</v>
      </c>
      <c r="K894" t="s">
        <v>1376</v>
      </c>
      <c r="L894" t="s">
        <v>1383</v>
      </c>
    </row>
    <row r="895" spans="1:12" x14ac:dyDescent="0.25">
      <c r="A895" s="3">
        <v>45344</v>
      </c>
      <c r="B895" t="s">
        <v>192</v>
      </c>
      <c r="C895" t="s">
        <v>1155</v>
      </c>
      <c r="D895" t="s">
        <v>1344</v>
      </c>
      <c r="E895" t="s">
        <v>1350</v>
      </c>
      <c r="F895" t="s">
        <v>1353</v>
      </c>
      <c r="G895" t="s">
        <v>1359</v>
      </c>
      <c r="H895" s="5">
        <v>4</v>
      </c>
      <c r="I895" s="9">
        <v>3499</v>
      </c>
      <c r="J895" s="9">
        <f t="shared" si="13"/>
        <v>13996</v>
      </c>
      <c r="K895" t="s">
        <v>1377</v>
      </c>
      <c r="L895" t="s">
        <v>1380</v>
      </c>
    </row>
    <row r="896" spans="1:12" x14ac:dyDescent="0.25">
      <c r="A896" s="3">
        <v>45516</v>
      </c>
      <c r="B896" t="s">
        <v>426</v>
      </c>
      <c r="C896" t="s">
        <v>1260</v>
      </c>
      <c r="D896" t="s">
        <v>1345</v>
      </c>
      <c r="E896" t="s">
        <v>1346</v>
      </c>
      <c r="F896" t="s">
        <v>1351</v>
      </c>
      <c r="G896" t="s">
        <v>1356</v>
      </c>
      <c r="H896" s="5">
        <v>24</v>
      </c>
      <c r="I896" s="9">
        <v>1999</v>
      </c>
      <c r="J896" s="9">
        <f t="shared" si="13"/>
        <v>47976</v>
      </c>
      <c r="K896" t="s">
        <v>1379</v>
      </c>
      <c r="L896" t="s">
        <v>1382</v>
      </c>
    </row>
    <row r="897" spans="1:12" x14ac:dyDescent="0.25">
      <c r="A897" s="3">
        <v>45292</v>
      </c>
      <c r="B897" t="s">
        <v>635</v>
      </c>
      <c r="C897" t="s">
        <v>1160</v>
      </c>
      <c r="D897" t="s">
        <v>1344</v>
      </c>
      <c r="E897" t="s">
        <v>1347</v>
      </c>
      <c r="F897" t="s">
        <v>1351</v>
      </c>
      <c r="G897" t="s">
        <v>1371</v>
      </c>
      <c r="H897" s="5">
        <v>7</v>
      </c>
      <c r="I897" s="9">
        <v>1878</v>
      </c>
      <c r="J897" s="9">
        <f t="shared" si="13"/>
        <v>13146</v>
      </c>
      <c r="K897" t="s">
        <v>1376</v>
      </c>
      <c r="L897" t="s">
        <v>1380</v>
      </c>
    </row>
    <row r="898" spans="1:12" x14ac:dyDescent="0.25">
      <c r="A898" s="3">
        <v>45300</v>
      </c>
      <c r="B898" t="s">
        <v>558</v>
      </c>
      <c r="C898" t="s">
        <v>1053</v>
      </c>
      <c r="D898" t="s">
        <v>1345</v>
      </c>
      <c r="E898" t="s">
        <v>1347</v>
      </c>
      <c r="F898" t="s">
        <v>1352</v>
      </c>
      <c r="G898" t="s">
        <v>1368</v>
      </c>
      <c r="H898" s="5">
        <v>33</v>
      </c>
      <c r="I898" s="9">
        <v>999</v>
      </c>
      <c r="J898" s="9">
        <f t="shared" ref="J898:J961" si="14">H898*I898</f>
        <v>32967</v>
      </c>
      <c r="K898" t="s">
        <v>1379</v>
      </c>
      <c r="L898" t="s">
        <v>1380</v>
      </c>
    </row>
    <row r="899" spans="1:12" x14ac:dyDescent="0.25">
      <c r="A899" s="3">
        <v>45585</v>
      </c>
      <c r="B899" t="s">
        <v>471</v>
      </c>
      <c r="C899" t="s">
        <v>1277</v>
      </c>
      <c r="D899" t="s">
        <v>1344</v>
      </c>
      <c r="E899" t="s">
        <v>1350</v>
      </c>
      <c r="F899" t="s">
        <v>1352</v>
      </c>
      <c r="G899" t="s">
        <v>1375</v>
      </c>
      <c r="H899" s="5">
        <v>8</v>
      </c>
      <c r="I899" s="9">
        <v>3499</v>
      </c>
      <c r="J899" s="9">
        <f t="shared" si="14"/>
        <v>27992</v>
      </c>
      <c r="K899" t="s">
        <v>1376</v>
      </c>
      <c r="L899" t="s">
        <v>1384</v>
      </c>
    </row>
    <row r="900" spans="1:12" x14ac:dyDescent="0.25">
      <c r="A900" s="3">
        <v>45621</v>
      </c>
      <c r="B900" t="s">
        <v>441</v>
      </c>
      <c r="C900" t="s">
        <v>1183</v>
      </c>
      <c r="D900" t="s">
        <v>1345</v>
      </c>
      <c r="E900" t="s">
        <v>1347</v>
      </c>
      <c r="F900" t="s">
        <v>1352</v>
      </c>
      <c r="G900" t="s">
        <v>1368</v>
      </c>
      <c r="H900" s="5">
        <v>26</v>
      </c>
      <c r="I900" s="9">
        <v>499</v>
      </c>
      <c r="J900" s="9">
        <f t="shared" si="14"/>
        <v>12974</v>
      </c>
      <c r="K900" t="s">
        <v>1379</v>
      </c>
      <c r="L900" t="s">
        <v>1381</v>
      </c>
    </row>
    <row r="901" spans="1:12" x14ac:dyDescent="0.25">
      <c r="A901" s="3">
        <v>45572</v>
      </c>
      <c r="B901" t="s">
        <v>156</v>
      </c>
      <c r="C901" t="s">
        <v>1133</v>
      </c>
      <c r="D901" t="s">
        <v>1344</v>
      </c>
      <c r="E901" t="s">
        <v>1348</v>
      </c>
      <c r="F901" t="s">
        <v>1354</v>
      </c>
      <c r="G901" t="s">
        <v>1363</v>
      </c>
      <c r="H901" s="5">
        <v>22</v>
      </c>
      <c r="I901" s="9">
        <v>1999</v>
      </c>
      <c r="J901" s="9">
        <f t="shared" si="14"/>
        <v>43978</v>
      </c>
      <c r="K901" t="s">
        <v>1376</v>
      </c>
      <c r="L901" t="s">
        <v>1380</v>
      </c>
    </row>
    <row r="902" spans="1:12" x14ac:dyDescent="0.25">
      <c r="A902" s="3">
        <v>45642</v>
      </c>
      <c r="B902" t="s">
        <v>625</v>
      </c>
      <c r="C902" t="s">
        <v>1296</v>
      </c>
      <c r="D902" t="s">
        <v>1345</v>
      </c>
      <c r="E902" t="s">
        <v>1347</v>
      </c>
      <c r="F902" t="s">
        <v>1355</v>
      </c>
      <c r="G902" t="s">
        <v>1373</v>
      </c>
      <c r="H902" s="5">
        <v>12</v>
      </c>
      <c r="I902" s="9">
        <v>1499</v>
      </c>
      <c r="J902" s="9">
        <f t="shared" si="14"/>
        <v>17988</v>
      </c>
      <c r="K902" t="s">
        <v>1379</v>
      </c>
      <c r="L902" t="s">
        <v>1384</v>
      </c>
    </row>
    <row r="903" spans="1:12" x14ac:dyDescent="0.25">
      <c r="A903" s="3">
        <v>45476</v>
      </c>
      <c r="B903" t="s">
        <v>253</v>
      </c>
      <c r="C903" t="s">
        <v>1164</v>
      </c>
      <c r="D903" t="s">
        <v>1344</v>
      </c>
      <c r="E903" t="s">
        <v>1350</v>
      </c>
      <c r="F903" t="s">
        <v>1355</v>
      </c>
      <c r="G903" t="s">
        <v>1360</v>
      </c>
      <c r="H903" s="5">
        <v>7</v>
      </c>
      <c r="I903" s="9">
        <v>2499</v>
      </c>
      <c r="J903" s="9">
        <f t="shared" si="14"/>
        <v>17493</v>
      </c>
      <c r="K903" t="s">
        <v>1379</v>
      </c>
      <c r="L903" t="s">
        <v>1382</v>
      </c>
    </row>
    <row r="904" spans="1:12" x14ac:dyDescent="0.25">
      <c r="A904" s="3">
        <v>45292</v>
      </c>
      <c r="B904" t="s">
        <v>680</v>
      </c>
      <c r="C904" t="s">
        <v>1315</v>
      </c>
      <c r="D904" t="s">
        <v>1344</v>
      </c>
      <c r="E904" t="s">
        <v>1349</v>
      </c>
      <c r="F904" t="s">
        <v>1354</v>
      </c>
      <c r="G904" t="s">
        <v>1366</v>
      </c>
      <c r="H904" s="5">
        <v>9</v>
      </c>
      <c r="I904" s="9">
        <v>2999</v>
      </c>
      <c r="J904" s="9">
        <f t="shared" si="14"/>
        <v>26991</v>
      </c>
      <c r="K904" t="s">
        <v>1379</v>
      </c>
      <c r="L904" t="s">
        <v>1384</v>
      </c>
    </row>
    <row r="905" spans="1:12" x14ac:dyDescent="0.25">
      <c r="A905" s="3">
        <v>45485</v>
      </c>
      <c r="B905" t="s">
        <v>674</v>
      </c>
      <c r="C905" t="s">
        <v>1159</v>
      </c>
      <c r="D905" t="s">
        <v>1389</v>
      </c>
      <c r="E905" t="s">
        <v>1346</v>
      </c>
      <c r="F905" t="s">
        <v>1355</v>
      </c>
      <c r="G905" t="s">
        <v>1374</v>
      </c>
      <c r="H905" s="5">
        <v>3</v>
      </c>
      <c r="I905" s="9">
        <v>999</v>
      </c>
      <c r="J905" s="9">
        <f t="shared" si="14"/>
        <v>2997</v>
      </c>
      <c r="K905" t="s">
        <v>1377</v>
      </c>
      <c r="L905" t="s">
        <v>1384</v>
      </c>
    </row>
    <row r="906" spans="1:12" x14ac:dyDescent="0.25">
      <c r="A906" s="3">
        <v>45604</v>
      </c>
      <c r="B906" t="s">
        <v>231</v>
      </c>
      <c r="C906" t="s">
        <v>1178</v>
      </c>
      <c r="D906" t="s">
        <v>1389</v>
      </c>
      <c r="E906" t="s">
        <v>1347</v>
      </c>
      <c r="F906" t="s">
        <v>1355</v>
      </c>
      <c r="G906" t="s">
        <v>1373</v>
      </c>
      <c r="H906" s="5">
        <v>29</v>
      </c>
      <c r="I906" s="9">
        <v>2499</v>
      </c>
      <c r="J906" s="9">
        <f t="shared" si="14"/>
        <v>72471</v>
      </c>
      <c r="K906" t="s">
        <v>1379</v>
      </c>
      <c r="L906" t="s">
        <v>1380</v>
      </c>
    </row>
    <row r="907" spans="1:12" x14ac:dyDescent="0.25">
      <c r="A907" s="3">
        <v>45326</v>
      </c>
      <c r="B907" t="s">
        <v>953</v>
      </c>
      <c r="C907" t="s">
        <v>1204</v>
      </c>
      <c r="D907" t="s">
        <v>1344</v>
      </c>
      <c r="E907" t="s">
        <v>1347</v>
      </c>
      <c r="F907" t="s">
        <v>1352</v>
      </c>
      <c r="G907" t="s">
        <v>1368</v>
      </c>
      <c r="H907" s="5">
        <v>7</v>
      </c>
      <c r="I907" s="9">
        <v>1999</v>
      </c>
      <c r="J907" s="9">
        <f t="shared" si="14"/>
        <v>13993</v>
      </c>
      <c r="K907" t="s">
        <v>1376</v>
      </c>
      <c r="L907" t="s">
        <v>1382</v>
      </c>
    </row>
    <row r="908" spans="1:12" x14ac:dyDescent="0.25">
      <c r="A908" s="3">
        <v>45481</v>
      </c>
      <c r="B908" t="s">
        <v>810</v>
      </c>
      <c r="C908" t="s">
        <v>1326</v>
      </c>
      <c r="D908" t="s">
        <v>1345</v>
      </c>
      <c r="E908" t="s">
        <v>1349</v>
      </c>
      <c r="F908" t="s">
        <v>1353</v>
      </c>
      <c r="G908" t="s">
        <v>1369</v>
      </c>
      <c r="H908" s="5">
        <v>31</v>
      </c>
      <c r="I908" s="9">
        <v>1845</v>
      </c>
      <c r="J908" s="9">
        <f t="shared" si="14"/>
        <v>57195</v>
      </c>
      <c r="K908" t="s">
        <v>1377</v>
      </c>
      <c r="L908" t="s">
        <v>1384</v>
      </c>
    </row>
    <row r="909" spans="1:12" x14ac:dyDescent="0.25">
      <c r="A909" s="3">
        <v>45434</v>
      </c>
      <c r="B909" t="s">
        <v>918</v>
      </c>
      <c r="C909" t="s">
        <v>1124</v>
      </c>
      <c r="D909" t="s">
        <v>1344</v>
      </c>
      <c r="E909" t="s">
        <v>1349</v>
      </c>
      <c r="F909" t="s">
        <v>1353</v>
      </c>
      <c r="G909" t="s">
        <v>1359</v>
      </c>
      <c r="H909" s="5">
        <v>2</v>
      </c>
      <c r="I909" s="9">
        <v>2499</v>
      </c>
      <c r="J909" s="9">
        <f t="shared" si="14"/>
        <v>4998</v>
      </c>
      <c r="K909" t="s">
        <v>1379</v>
      </c>
      <c r="L909" t="s">
        <v>1382</v>
      </c>
    </row>
    <row r="910" spans="1:12" x14ac:dyDescent="0.25">
      <c r="A910" s="3">
        <v>45598</v>
      </c>
      <c r="B910" t="s">
        <v>596</v>
      </c>
      <c r="C910" t="s">
        <v>1253</v>
      </c>
      <c r="D910" t="s">
        <v>1344</v>
      </c>
      <c r="E910" t="s">
        <v>1349</v>
      </c>
      <c r="F910" t="s">
        <v>1353</v>
      </c>
      <c r="G910" t="s">
        <v>1367</v>
      </c>
      <c r="H910" s="5">
        <v>46</v>
      </c>
      <c r="I910" s="9">
        <v>1499</v>
      </c>
      <c r="J910" s="9">
        <f t="shared" si="14"/>
        <v>68954</v>
      </c>
      <c r="K910" t="s">
        <v>1378</v>
      </c>
      <c r="L910" t="s">
        <v>1380</v>
      </c>
    </row>
    <row r="911" spans="1:12" x14ac:dyDescent="0.25">
      <c r="A911" s="3">
        <v>45409</v>
      </c>
      <c r="B911" t="s">
        <v>652</v>
      </c>
      <c r="C911" t="s">
        <v>1183</v>
      </c>
      <c r="D911" t="s">
        <v>1389</v>
      </c>
      <c r="E911" t="s">
        <v>1349</v>
      </c>
      <c r="F911" t="s">
        <v>1354</v>
      </c>
      <c r="G911" t="s">
        <v>1363</v>
      </c>
      <c r="H911" s="5">
        <v>2</v>
      </c>
      <c r="I911" s="9">
        <v>999</v>
      </c>
      <c r="J911" s="9">
        <f t="shared" si="14"/>
        <v>1998</v>
      </c>
      <c r="K911" t="s">
        <v>1379</v>
      </c>
      <c r="L911" t="s">
        <v>1382</v>
      </c>
    </row>
    <row r="912" spans="1:12" x14ac:dyDescent="0.25">
      <c r="A912" s="3">
        <v>45417</v>
      </c>
      <c r="B912" t="s">
        <v>831</v>
      </c>
      <c r="C912" t="s">
        <v>1033</v>
      </c>
      <c r="D912" t="s">
        <v>1389</v>
      </c>
      <c r="E912" t="s">
        <v>1349</v>
      </c>
      <c r="F912" t="s">
        <v>1352</v>
      </c>
      <c r="G912" t="s">
        <v>1375</v>
      </c>
      <c r="H912" s="5">
        <v>13</v>
      </c>
      <c r="I912" s="9">
        <v>999</v>
      </c>
      <c r="J912" s="9">
        <f t="shared" si="14"/>
        <v>12987</v>
      </c>
      <c r="K912" t="s">
        <v>1379</v>
      </c>
      <c r="L912" t="s">
        <v>1382</v>
      </c>
    </row>
    <row r="913" spans="1:12" x14ac:dyDescent="0.25">
      <c r="A913" s="3">
        <v>45520</v>
      </c>
      <c r="B913" t="s">
        <v>477</v>
      </c>
      <c r="C913" t="s">
        <v>1165</v>
      </c>
      <c r="D913" t="s">
        <v>1344</v>
      </c>
      <c r="E913" t="s">
        <v>1350</v>
      </c>
      <c r="F913" t="s">
        <v>1352</v>
      </c>
      <c r="G913" t="s">
        <v>1358</v>
      </c>
      <c r="H913" s="5">
        <v>13</v>
      </c>
      <c r="I913" s="9">
        <v>2999</v>
      </c>
      <c r="J913" s="9">
        <f t="shared" si="14"/>
        <v>38987</v>
      </c>
      <c r="K913" t="s">
        <v>1377</v>
      </c>
      <c r="L913" t="s">
        <v>1380</v>
      </c>
    </row>
    <row r="914" spans="1:12" x14ac:dyDescent="0.25">
      <c r="A914" s="3">
        <v>45580</v>
      </c>
      <c r="B914" t="s">
        <v>792</v>
      </c>
      <c r="C914" t="s">
        <v>1190</v>
      </c>
      <c r="D914" t="s">
        <v>1389</v>
      </c>
      <c r="E914" t="s">
        <v>1349</v>
      </c>
      <c r="F914" t="s">
        <v>1355</v>
      </c>
      <c r="G914" t="s">
        <v>1374</v>
      </c>
      <c r="H914" s="5">
        <v>1</v>
      </c>
      <c r="I914" s="9">
        <v>1999</v>
      </c>
      <c r="J914" s="9">
        <f t="shared" si="14"/>
        <v>1999</v>
      </c>
      <c r="K914" t="s">
        <v>1377</v>
      </c>
      <c r="L914" t="s">
        <v>1380</v>
      </c>
    </row>
    <row r="915" spans="1:12" x14ac:dyDescent="0.25">
      <c r="A915" s="3">
        <v>45389</v>
      </c>
      <c r="B915" t="s">
        <v>188</v>
      </c>
      <c r="C915" t="s">
        <v>1050</v>
      </c>
      <c r="D915" t="s">
        <v>1389</v>
      </c>
      <c r="E915" t="s">
        <v>1349</v>
      </c>
      <c r="F915" t="s">
        <v>1352</v>
      </c>
      <c r="G915" t="s">
        <v>1368</v>
      </c>
      <c r="H915" s="5">
        <v>39</v>
      </c>
      <c r="I915" s="9">
        <v>2499</v>
      </c>
      <c r="J915" s="9">
        <f t="shared" si="14"/>
        <v>97461</v>
      </c>
      <c r="K915" t="s">
        <v>1379</v>
      </c>
      <c r="L915" t="s">
        <v>1380</v>
      </c>
    </row>
    <row r="916" spans="1:12" x14ac:dyDescent="0.25">
      <c r="A916" s="3">
        <v>45555</v>
      </c>
      <c r="B916" t="s">
        <v>151</v>
      </c>
      <c r="C916" t="s">
        <v>1034</v>
      </c>
      <c r="D916" t="s">
        <v>1345</v>
      </c>
      <c r="E916" t="s">
        <v>1350</v>
      </c>
      <c r="F916" t="s">
        <v>1354</v>
      </c>
      <c r="G916" t="s">
        <v>1361</v>
      </c>
      <c r="H916" s="5">
        <v>19</v>
      </c>
      <c r="I916" s="9">
        <v>3499</v>
      </c>
      <c r="J916" s="9">
        <f t="shared" si="14"/>
        <v>66481</v>
      </c>
      <c r="K916" t="s">
        <v>1377</v>
      </c>
      <c r="L916" t="s">
        <v>1381</v>
      </c>
    </row>
    <row r="917" spans="1:12" x14ac:dyDescent="0.25">
      <c r="A917" s="3">
        <v>45448</v>
      </c>
      <c r="B917" t="s">
        <v>243</v>
      </c>
      <c r="C917" t="s">
        <v>1181</v>
      </c>
      <c r="D917" t="s">
        <v>1345</v>
      </c>
      <c r="E917" t="s">
        <v>1346</v>
      </c>
      <c r="F917" t="s">
        <v>1352</v>
      </c>
      <c r="G917" t="s">
        <v>1368</v>
      </c>
      <c r="H917" s="5">
        <v>41</v>
      </c>
      <c r="I917" s="9">
        <v>1624</v>
      </c>
      <c r="J917" s="9">
        <f t="shared" si="14"/>
        <v>66584</v>
      </c>
      <c r="K917" t="s">
        <v>1377</v>
      </c>
      <c r="L917" t="s">
        <v>1383</v>
      </c>
    </row>
    <row r="918" spans="1:12" x14ac:dyDescent="0.25">
      <c r="A918" s="3">
        <v>45390</v>
      </c>
      <c r="B918" t="s">
        <v>612</v>
      </c>
      <c r="C918" t="s">
        <v>1288</v>
      </c>
      <c r="D918" t="s">
        <v>1344</v>
      </c>
      <c r="E918" t="s">
        <v>1347</v>
      </c>
      <c r="F918" t="s">
        <v>1351</v>
      </c>
      <c r="G918" t="s">
        <v>1356</v>
      </c>
      <c r="H918" s="5">
        <v>48</v>
      </c>
      <c r="I918" s="9">
        <v>1878</v>
      </c>
      <c r="J918" s="9">
        <f t="shared" si="14"/>
        <v>90144</v>
      </c>
      <c r="K918" t="s">
        <v>1379</v>
      </c>
      <c r="L918" t="s">
        <v>1384</v>
      </c>
    </row>
    <row r="919" spans="1:12" x14ac:dyDescent="0.25">
      <c r="A919" s="3">
        <v>45563</v>
      </c>
      <c r="B919" t="s">
        <v>870</v>
      </c>
      <c r="C919" t="s">
        <v>1042</v>
      </c>
      <c r="D919" t="s">
        <v>1389</v>
      </c>
      <c r="E919" t="s">
        <v>1349</v>
      </c>
      <c r="F919" t="s">
        <v>1354</v>
      </c>
      <c r="G919" t="s">
        <v>1363</v>
      </c>
      <c r="H919" s="5">
        <v>19</v>
      </c>
      <c r="I919" s="9">
        <v>1749</v>
      </c>
      <c r="J919" s="9">
        <f t="shared" si="14"/>
        <v>33231</v>
      </c>
      <c r="K919" t="s">
        <v>1377</v>
      </c>
      <c r="L919" t="s">
        <v>1383</v>
      </c>
    </row>
    <row r="920" spans="1:12" x14ac:dyDescent="0.25">
      <c r="A920" s="3">
        <v>45386</v>
      </c>
      <c r="B920" t="s">
        <v>515</v>
      </c>
      <c r="C920" t="s">
        <v>1249</v>
      </c>
      <c r="D920" t="s">
        <v>1389</v>
      </c>
      <c r="E920" t="s">
        <v>1350</v>
      </c>
      <c r="F920" t="s">
        <v>1355</v>
      </c>
      <c r="G920" t="s">
        <v>1373</v>
      </c>
      <c r="H920" s="5">
        <v>21</v>
      </c>
      <c r="I920" s="9">
        <v>1838</v>
      </c>
      <c r="J920" s="9">
        <f t="shared" si="14"/>
        <v>38598</v>
      </c>
      <c r="K920" t="s">
        <v>1379</v>
      </c>
      <c r="L920" t="s">
        <v>1384</v>
      </c>
    </row>
    <row r="921" spans="1:12" x14ac:dyDescent="0.25">
      <c r="A921" s="3">
        <v>45386</v>
      </c>
      <c r="B921" t="s">
        <v>141</v>
      </c>
      <c r="C921" t="s">
        <v>1097</v>
      </c>
      <c r="D921" t="s">
        <v>1344</v>
      </c>
      <c r="E921" t="s">
        <v>1350</v>
      </c>
      <c r="F921" t="s">
        <v>1355</v>
      </c>
      <c r="G921" t="s">
        <v>1374</v>
      </c>
      <c r="H921" s="5">
        <v>19</v>
      </c>
      <c r="I921" s="9">
        <v>3499</v>
      </c>
      <c r="J921" s="9">
        <f t="shared" si="14"/>
        <v>66481</v>
      </c>
      <c r="K921" t="s">
        <v>1376</v>
      </c>
      <c r="L921" t="s">
        <v>1382</v>
      </c>
    </row>
    <row r="922" spans="1:12" x14ac:dyDescent="0.25">
      <c r="A922" s="3">
        <v>45431</v>
      </c>
      <c r="B922" t="s">
        <v>998</v>
      </c>
      <c r="C922" t="s">
        <v>1248</v>
      </c>
      <c r="D922" t="s">
        <v>1345</v>
      </c>
      <c r="E922" t="s">
        <v>1347</v>
      </c>
      <c r="F922" t="s">
        <v>1352</v>
      </c>
      <c r="G922" t="s">
        <v>1368</v>
      </c>
      <c r="H922" s="5">
        <v>18</v>
      </c>
      <c r="I922" s="9">
        <v>499</v>
      </c>
      <c r="J922" s="9">
        <f t="shared" si="14"/>
        <v>8982</v>
      </c>
      <c r="K922" t="s">
        <v>1379</v>
      </c>
      <c r="L922" t="s">
        <v>1384</v>
      </c>
    </row>
    <row r="923" spans="1:12" x14ac:dyDescent="0.25">
      <c r="A923" s="3">
        <v>45337</v>
      </c>
      <c r="B923" t="s">
        <v>827</v>
      </c>
      <c r="C923" t="s">
        <v>1328</v>
      </c>
      <c r="D923" t="s">
        <v>1389</v>
      </c>
      <c r="E923" t="s">
        <v>1350</v>
      </c>
      <c r="F923" t="s">
        <v>1352</v>
      </c>
      <c r="G923" t="s">
        <v>1358</v>
      </c>
      <c r="H923" s="5">
        <v>36</v>
      </c>
      <c r="I923" s="9">
        <v>1624</v>
      </c>
      <c r="J923" s="9">
        <f t="shared" si="14"/>
        <v>58464</v>
      </c>
      <c r="K923" t="s">
        <v>1379</v>
      </c>
      <c r="L923" t="s">
        <v>1382</v>
      </c>
    </row>
    <row r="924" spans="1:12" x14ac:dyDescent="0.25">
      <c r="A924" s="3">
        <v>45298</v>
      </c>
      <c r="B924" t="s">
        <v>587</v>
      </c>
      <c r="C924" t="s">
        <v>1076</v>
      </c>
      <c r="D924" t="s">
        <v>1345</v>
      </c>
      <c r="E924" t="s">
        <v>1350</v>
      </c>
      <c r="F924" t="s">
        <v>1354</v>
      </c>
      <c r="G924" t="s">
        <v>1363</v>
      </c>
      <c r="H924" s="5">
        <v>39</v>
      </c>
      <c r="I924" s="9">
        <v>1749</v>
      </c>
      <c r="J924" s="9">
        <f t="shared" si="14"/>
        <v>68211</v>
      </c>
      <c r="K924" t="s">
        <v>1377</v>
      </c>
      <c r="L924" t="s">
        <v>1384</v>
      </c>
    </row>
    <row r="925" spans="1:12" x14ac:dyDescent="0.25">
      <c r="A925" s="3">
        <v>45516</v>
      </c>
      <c r="B925" t="s">
        <v>626</v>
      </c>
      <c r="C925" t="s">
        <v>1133</v>
      </c>
      <c r="D925" t="s">
        <v>1345</v>
      </c>
      <c r="E925" t="s">
        <v>1347</v>
      </c>
      <c r="F925" t="s">
        <v>1352</v>
      </c>
      <c r="G925" t="s">
        <v>1375</v>
      </c>
      <c r="H925" s="5">
        <v>22</v>
      </c>
      <c r="I925" s="9">
        <v>1999</v>
      </c>
      <c r="J925" s="9">
        <f t="shared" si="14"/>
        <v>43978</v>
      </c>
      <c r="K925" t="s">
        <v>1379</v>
      </c>
      <c r="L925" t="s">
        <v>1382</v>
      </c>
    </row>
    <row r="926" spans="1:12" x14ac:dyDescent="0.25">
      <c r="A926" s="3">
        <v>45620</v>
      </c>
      <c r="B926" t="s">
        <v>669</v>
      </c>
      <c r="C926" t="s">
        <v>1165</v>
      </c>
      <c r="D926" t="s">
        <v>1345</v>
      </c>
      <c r="E926" t="s">
        <v>1349</v>
      </c>
      <c r="F926" t="s">
        <v>1354</v>
      </c>
      <c r="G926" t="s">
        <v>1362</v>
      </c>
      <c r="H926" s="5">
        <v>12</v>
      </c>
      <c r="I926" s="9">
        <v>2999</v>
      </c>
      <c r="J926" s="9">
        <f t="shared" si="14"/>
        <v>35988</v>
      </c>
      <c r="K926" t="s">
        <v>1377</v>
      </c>
      <c r="L926" t="s">
        <v>1382</v>
      </c>
    </row>
    <row r="927" spans="1:12" x14ac:dyDescent="0.25">
      <c r="A927" s="3">
        <v>45566</v>
      </c>
      <c r="B927" t="s">
        <v>987</v>
      </c>
      <c r="C927" t="s">
        <v>1162</v>
      </c>
      <c r="D927" t="s">
        <v>1344</v>
      </c>
      <c r="E927" t="s">
        <v>1347</v>
      </c>
      <c r="F927" t="s">
        <v>1351</v>
      </c>
      <c r="G927" t="s">
        <v>1357</v>
      </c>
      <c r="H927" s="5">
        <v>43</v>
      </c>
      <c r="I927" s="9">
        <v>1499</v>
      </c>
      <c r="J927" s="9">
        <f t="shared" si="14"/>
        <v>64457</v>
      </c>
      <c r="K927" t="s">
        <v>1377</v>
      </c>
      <c r="L927" t="s">
        <v>1383</v>
      </c>
    </row>
    <row r="928" spans="1:12" x14ac:dyDescent="0.25">
      <c r="A928" s="3">
        <v>45381</v>
      </c>
      <c r="B928" t="s">
        <v>107</v>
      </c>
      <c r="C928" t="s">
        <v>1065</v>
      </c>
      <c r="D928" t="s">
        <v>1389</v>
      </c>
      <c r="E928" t="s">
        <v>1350</v>
      </c>
      <c r="F928" t="s">
        <v>1354</v>
      </c>
      <c r="G928" t="s">
        <v>1363</v>
      </c>
      <c r="H928" s="5">
        <v>37</v>
      </c>
      <c r="I928" s="9">
        <v>1499</v>
      </c>
      <c r="J928" s="9">
        <f t="shared" si="14"/>
        <v>55463</v>
      </c>
      <c r="K928" t="s">
        <v>1377</v>
      </c>
      <c r="L928" t="s">
        <v>1380</v>
      </c>
    </row>
    <row r="929" spans="1:12" x14ac:dyDescent="0.25">
      <c r="A929" s="3">
        <v>45295</v>
      </c>
      <c r="B929" t="s">
        <v>740</v>
      </c>
      <c r="C929" t="s">
        <v>1320</v>
      </c>
      <c r="D929" t="s">
        <v>1345</v>
      </c>
      <c r="E929" t="s">
        <v>1348</v>
      </c>
      <c r="F929" t="s">
        <v>1354</v>
      </c>
      <c r="G929" t="s">
        <v>1362</v>
      </c>
      <c r="H929" s="5">
        <v>48</v>
      </c>
      <c r="I929" s="9">
        <v>499</v>
      </c>
      <c r="J929" s="9">
        <f t="shared" si="14"/>
        <v>23952</v>
      </c>
      <c r="K929" t="s">
        <v>1378</v>
      </c>
      <c r="L929" t="s">
        <v>1382</v>
      </c>
    </row>
    <row r="930" spans="1:12" x14ac:dyDescent="0.25">
      <c r="A930" s="3">
        <v>45566</v>
      </c>
      <c r="B930" t="s">
        <v>609</v>
      </c>
      <c r="C930" t="s">
        <v>1099</v>
      </c>
      <c r="D930" t="s">
        <v>1389</v>
      </c>
      <c r="E930" t="s">
        <v>1350</v>
      </c>
      <c r="F930" t="s">
        <v>1353</v>
      </c>
      <c r="G930" t="s">
        <v>1369</v>
      </c>
      <c r="H930" s="5">
        <v>22</v>
      </c>
      <c r="I930" s="9">
        <v>2999</v>
      </c>
      <c r="J930" s="9">
        <f t="shared" si="14"/>
        <v>65978</v>
      </c>
      <c r="K930" t="s">
        <v>1379</v>
      </c>
      <c r="L930" t="s">
        <v>1382</v>
      </c>
    </row>
    <row r="931" spans="1:12" x14ac:dyDescent="0.25">
      <c r="A931" s="3">
        <v>45489</v>
      </c>
      <c r="B931" t="s">
        <v>447</v>
      </c>
      <c r="C931" t="s">
        <v>1064</v>
      </c>
      <c r="D931" t="s">
        <v>1344</v>
      </c>
      <c r="E931" t="s">
        <v>1347</v>
      </c>
      <c r="F931" t="s">
        <v>1355</v>
      </c>
      <c r="G931" t="s">
        <v>1372</v>
      </c>
      <c r="H931" s="5">
        <v>2</v>
      </c>
      <c r="I931" s="9">
        <v>199</v>
      </c>
      <c r="J931" s="9">
        <f t="shared" si="14"/>
        <v>398</v>
      </c>
      <c r="K931" t="s">
        <v>1379</v>
      </c>
      <c r="L931" t="s">
        <v>1380</v>
      </c>
    </row>
    <row r="932" spans="1:12" x14ac:dyDescent="0.25">
      <c r="A932" s="3">
        <v>45304</v>
      </c>
      <c r="B932" t="s">
        <v>848</v>
      </c>
      <c r="C932" t="s">
        <v>1330</v>
      </c>
      <c r="D932" t="s">
        <v>1389</v>
      </c>
      <c r="E932" t="s">
        <v>1347</v>
      </c>
      <c r="F932" t="s">
        <v>1353</v>
      </c>
      <c r="G932" t="s">
        <v>1369</v>
      </c>
      <c r="H932" s="5">
        <v>11</v>
      </c>
      <c r="I932" s="9">
        <v>2999</v>
      </c>
      <c r="J932" s="9">
        <f t="shared" si="14"/>
        <v>32989</v>
      </c>
      <c r="K932" t="s">
        <v>1379</v>
      </c>
      <c r="L932" t="s">
        <v>1382</v>
      </c>
    </row>
    <row r="933" spans="1:12" x14ac:dyDescent="0.25">
      <c r="A933" s="3">
        <v>45545</v>
      </c>
      <c r="B933" t="s">
        <v>765</v>
      </c>
      <c r="C933" t="s">
        <v>1204</v>
      </c>
      <c r="D933" t="s">
        <v>1344</v>
      </c>
      <c r="E933" t="s">
        <v>1347</v>
      </c>
      <c r="F933" t="s">
        <v>1354</v>
      </c>
      <c r="G933" t="s">
        <v>1361</v>
      </c>
      <c r="H933" s="5">
        <v>11</v>
      </c>
      <c r="I933" s="9">
        <v>2499</v>
      </c>
      <c r="J933" s="9">
        <f t="shared" si="14"/>
        <v>27489</v>
      </c>
      <c r="K933" t="s">
        <v>1377</v>
      </c>
      <c r="L933" t="s">
        <v>1381</v>
      </c>
    </row>
    <row r="934" spans="1:12" x14ac:dyDescent="0.25">
      <c r="A934" s="3">
        <v>45486</v>
      </c>
      <c r="B934" t="s">
        <v>928</v>
      </c>
      <c r="C934" t="s">
        <v>1228</v>
      </c>
      <c r="D934" t="s">
        <v>1344</v>
      </c>
      <c r="E934" t="s">
        <v>1346</v>
      </c>
      <c r="F934" t="s">
        <v>1352</v>
      </c>
      <c r="G934" t="s">
        <v>1364</v>
      </c>
      <c r="H934" s="5">
        <v>22</v>
      </c>
      <c r="I934" s="9">
        <v>199</v>
      </c>
      <c r="J934" s="9">
        <f t="shared" si="14"/>
        <v>4378</v>
      </c>
      <c r="K934" t="s">
        <v>1379</v>
      </c>
      <c r="L934" t="s">
        <v>1380</v>
      </c>
    </row>
    <row r="935" spans="1:12" x14ac:dyDescent="0.25">
      <c r="A935" s="3">
        <v>45380</v>
      </c>
      <c r="B935" t="s">
        <v>897</v>
      </c>
      <c r="C935" t="s">
        <v>1238</v>
      </c>
      <c r="D935" t="s">
        <v>1344</v>
      </c>
      <c r="E935" t="s">
        <v>1350</v>
      </c>
      <c r="F935" t="s">
        <v>1352</v>
      </c>
      <c r="G935" t="s">
        <v>1368</v>
      </c>
      <c r="H935" s="5">
        <v>14</v>
      </c>
      <c r="I935" s="9">
        <v>1999</v>
      </c>
      <c r="J935" s="9">
        <f t="shared" si="14"/>
        <v>27986</v>
      </c>
      <c r="K935" t="s">
        <v>1379</v>
      </c>
      <c r="L935" t="s">
        <v>1381</v>
      </c>
    </row>
    <row r="936" spans="1:12" x14ac:dyDescent="0.25">
      <c r="A936" s="3">
        <v>45377</v>
      </c>
      <c r="B936" t="s">
        <v>805</v>
      </c>
      <c r="C936" t="s">
        <v>1080</v>
      </c>
      <c r="D936" t="s">
        <v>1345</v>
      </c>
      <c r="E936" t="s">
        <v>1349</v>
      </c>
      <c r="F936" t="s">
        <v>1351</v>
      </c>
      <c r="G936" t="s">
        <v>1357</v>
      </c>
      <c r="H936" s="5">
        <v>19</v>
      </c>
      <c r="I936" s="9">
        <v>199</v>
      </c>
      <c r="J936" s="9">
        <f t="shared" si="14"/>
        <v>3781</v>
      </c>
      <c r="K936" t="s">
        <v>1377</v>
      </c>
      <c r="L936" t="s">
        <v>1382</v>
      </c>
    </row>
    <row r="937" spans="1:12" x14ac:dyDescent="0.25">
      <c r="A937" s="3">
        <v>45337</v>
      </c>
      <c r="B937" t="s">
        <v>784</v>
      </c>
      <c r="C937" t="s">
        <v>1289</v>
      </c>
      <c r="D937" t="s">
        <v>1345</v>
      </c>
      <c r="E937" t="s">
        <v>1349</v>
      </c>
      <c r="F937" t="s">
        <v>1355</v>
      </c>
      <c r="G937" t="s">
        <v>1360</v>
      </c>
      <c r="H937" s="5">
        <v>21</v>
      </c>
      <c r="I937" s="9">
        <v>1499</v>
      </c>
      <c r="J937" s="9">
        <f t="shared" si="14"/>
        <v>31479</v>
      </c>
      <c r="K937" t="s">
        <v>1377</v>
      </c>
      <c r="L937" t="s">
        <v>1381</v>
      </c>
    </row>
    <row r="938" spans="1:12" x14ac:dyDescent="0.25">
      <c r="A938" s="3">
        <v>45615</v>
      </c>
      <c r="B938" t="s">
        <v>93</v>
      </c>
      <c r="C938" t="s">
        <v>1093</v>
      </c>
      <c r="D938" t="s">
        <v>1345</v>
      </c>
      <c r="E938" t="s">
        <v>1347</v>
      </c>
      <c r="F938" t="s">
        <v>1354</v>
      </c>
      <c r="G938" t="s">
        <v>1362</v>
      </c>
      <c r="H938" s="5">
        <v>44</v>
      </c>
      <c r="I938" s="9">
        <v>1999</v>
      </c>
      <c r="J938" s="9">
        <f t="shared" si="14"/>
        <v>87956</v>
      </c>
      <c r="K938" t="s">
        <v>1379</v>
      </c>
      <c r="L938" t="s">
        <v>1384</v>
      </c>
    </row>
    <row r="939" spans="1:12" x14ac:dyDescent="0.25">
      <c r="A939" s="3">
        <v>45487</v>
      </c>
      <c r="B939" t="s">
        <v>738</v>
      </c>
      <c r="C939" t="s">
        <v>1099</v>
      </c>
      <c r="D939" t="s">
        <v>1345</v>
      </c>
      <c r="E939" t="s">
        <v>1348</v>
      </c>
      <c r="F939" t="s">
        <v>1352</v>
      </c>
      <c r="G939" t="s">
        <v>1364</v>
      </c>
      <c r="H939" s="5">
        <v>22</v>
      </c>
      <c r="I939" s="9">
        <v>499</v>
      </c>
      <c r="J939" s="9">
        <f t="shared" si="14"/>
        <v>10978</v>
      </c>
      <c r="K939" t="s">
        <v>1377</v>
      </c>
      <c r="L939" t="s">
        <v>1384</v>
      </c>
    </row>
    <row r="940" spans="1:12" x14ac:dyDescent="0.25">
      <c r="A940" s="3">
        <v>45474</v>
      </c>
      <c r="B940" t="s">
        <v>129</v>
      </c>
      <c r="C940" t="s">
        <v>1027</v>
      </c>
      <c r="D940" t="s">
        <v>1344</v>
      </c>
      <c r="E940" t="s">
        <v>1346</v>
      </c>
      <c r="F940" t="s">
        <v>1351</v>
      </c>
      <c r="G940" t="s">
        <v>1371</v>
      </c>
      <c r="H940" s="5">
        <v>13</v>
      </c>
      <c r="I940" s="9">
        <v>1878</v>
      </c>
      <c r="J940" s="9">
        <f t="shared" si="14"/>
        <v>24414</v>
      </c>
      <c r="K940" t="s">
        <v>1378</v>
      </c>
      <c r="L940" t="s">
        <v>1382</v>
      </c>
    </row>
    <row r="941" spans="1:12" x14ac:dyDescent="0.25">
      <c r="A941" s="3">
        <v>45301</v>
      </c>
      <c r="B941" t="s">
        <v>949</v>
      </c>
      <c r="C941" t="s">
        <v>1262</v>
      </c>
      <c r="D941" t="s">
        <v>1345</v>
      </c>
      <c r="E941" t="s">
        <v>1350</v>
      </c>
      <c r="F941" t="s">
        <v>1355</v>
      </c>
      <c r="G941" t="s">
        <v>1360</v>
      </c>
      <c r="H941" s="5">
        <v>18</v>
      </c>
      <c r="I941" s="9">
        <v>1838</v>
      </c>
      <c r="J941" s="9">
        <f t="shared" si="14"/>
        <v>33084</v>
      </c>
      <c r="K941" t="s">
        <v>1379</v>
      </c>
      <c r="L941" t="s">
        <v>1384</v>
      </c>
    </row>
    <row r="942" spans="1:12" x14ac:dyDescent="0.25">
      <c r="A942" s="3">
        <v>45530</v>
      </c>
      <c r="B942" t="s">
        <v>850</v>
      </c>
      <c r="C942" t="s">
        <v>1284</v>
      </c>
      <c r="D942" t="s">
        <v>1389</v>
      </c>
      <c r="E942" t="s">
        <v>1349</v>
      </c>
      <c r="F942" t="s">
        <v>1351</v>
      </c>
      <c r="G942" t="s">
        <v>1371</v>
      </c>
      <c r="H942" s="5">
        <v>40</v>
      </c>
      <c r="I942" s="9">
        <v>999</v>
      </c>
      <c r="J942" s="9">
        <f t="shared" si="14"/>
        <v>39960</v>
      </c>
      <c r="K942" t="s">
        <v>1379</v>
      </c>
      <c r="L942" t="s">
        <v>1380</v>
      </c>
    </row>
    <row r="943" spans="1:12" x14ac:dyDescent="0.25">
      <c r="A943" s="3">
        <v>45518</v>
      </c>
      <c r="B943" t="s">
        <v>254</v>
      </c>
      <c r="C943" t="s">
        <v>1102</v>
      </c>
      <c r="D943" t="s">
        <v>1389</v>
      </c>
      <c r="E943" t="s">
        <v>1349</v>
      </c>
      <c r="F943" t="s">
        <v>1352</v>
      </c>
      <c r="G943" t="s">
        <v>1364</v>
      </c>
      <c r="H943" s="5">
        <v>3</v>
      </c>
      <c r="I943" s="9">
        <v>999</v>
      </c>
      <c r="J943" s="9">
        <f t="shared" si="14"/>
        <v>2997</v>
      </c>
      <c r="K943" t="s">
        <v>1379</v>
      </c>
      <c r="L943" t="s">
        <v>1380</v>
      </c>
    </row>
    <row r="944" spans="1:12" x14ac:dyDescent="0.25">
      <c r="A944" s="3">
        <v>45511</v>
      </c>
      <c r="B944" t="s">
        <v>467</v>
      </c>
      <c r="C944" t="s">
        <v>1273</v>
      </c>
      <c r="D944" t="s">
        <v>1345</v>
      </c>
      <c r="E944" t="s">
        <v>1347</v>
      </c>
      <c r="F944" t="s">
        <v>1355</v>
      </c>
      <c r="G944" t="s">
        <v>1373</v>
      </c>
      <c r="H944" s="5">
        <v>9</v>
      </c>
      <c r="I944" s="9">
        <v>199</v>
      </c>
      <c r="J944" s="9">
        <f t="shared" si="14"/>
        <v>1791</v>
      </c>
      <c r="K944" t="s">
        <v>1379</v>
      </c>
      <c r="L944" t="s">
        <v>1382</v>
      </c>
    </row>
    <row r="945" spans="1:12" x14ac:dyDescent="0.25">
      <c r="A945" s="3">
        <v>45366</v>
      </c>
      <c r="B945" t="s">
        <v>27</v>
      </c>
      <c r="C945" t="s">
        <v>1025</v>
      </c>
      <c r="D945" t="s">
        <v>1389</v>
      </c>
      <c r="E945" t="s">
        <v>1346</v>
      </c>
      <c r="F945" t="s">
        <v>1352</v>
      </c>
      <c r="G945" t="s">
        <v>1368</v>
      </c>
      <c r="H945" s="5">
        <v>10</v>
      </c>
      <c r="I945" s="9">
        <v>199</v>
      </c>
      <c r="J945" s="9">
        <f t="shared" si="14"/>
        <v>1990</v>
      </c>
      <c r="K945" t="s">
        <v>1379</v>
      </c>
      <c r="L945" t="s">
        <v>1382</v>
      </c>
    </row>
    <row r="946" spans="1:12" x14ac:dyDescent="0.25">
      <c r="A946" s="3">
        <v>45508</v>
      </c>
      <c r="B946" t="s">
        <v>312</v>
      </c>
      <c r="C946" t="s">
        <v>1146</v>
      </c>
      <c r="D946" t="s">
        <v>1345</v>
      </c>
      <c r="E946" t="s">
        <v>1346</v>
      </c>
      <c r="F946" t="s">
        <v>1354</v>
      </c>
      <c r="G946" t="s">
        <v>1361</v>
      </c>
      <c r="H946" s="5">
        <v>22</v>
      </c>
      <c r="I946" s="9">
        <v>2999</v>
      </c>
      <c r="J946" s="9">
        <f t="shared" si="14"/>
        <v>65978</v>
      </c>
      <c r="K946" t="s">
        <v>1377</v>
      </c>
      <c r="L946" t="s">
        <v>1384</v>
      </c>
    </row>
    <row r="947" spans="1:12" x14ac:dyDescent="0.25">
      <c r="A947" s="3">
        <v>45555</v>
      </c>
      <c r="B947" t="s">
        <v>288</v>
      </c>
      <c r="C947" t="s">
        <v>1137</v>
      </c>
      <c r="D947" t="s">
        <v>1344</v>
      </c>
      <c r="E947" t="s">
        <v>1347</v>
      </c>
      <c r="F947" t="s">
        <v>1351</v>
      </c>
      <c r="G947" t="s">
        <v>1357</v>
      </c>
      <c r="H947" s="5">
        <v>7</v>
      </c>
      <c r="I947" s="9">
        <v>199</v>
      </c>
      <c r="J947" s="9">
        <f t="shared" si="14"/>
        <v>1393</v>
      </c>
      <c r="K947" t="s">
        <v>1379</v>
      </c>
      <c r="L947" t="s">
        <v>1380</v>
      </c>
    </row>
    <row r="948" spans="1:12" x14ac:dyDescent="0.25">
      <c r="A948" s="3">
        <v>45349</v>
      </c>
      <c r="B948" t="s">
        <v>583</v>
      </c>
      <c r="C948" t="s">
        <v>1201</v>
      </c>
      <c r="D948" t="s">
        <v>1344</v>
      </c>
      <c r="E948" t="s">
        <v>1350</v>
      </c>
      <c r="F948" t="s">
        <v>1355</v>
      </c>
      <c r="G948" t="s">
        <v>1360</v>
      </c>
      <c r="H948" s="5">
        <v>26</v>
      </c>
      <c r="I948" s="9">
        <v>499</v>
      </c>
      <c r="J948" s="9">
        <f t="shared" si="14"/>
        <v>12974</v>
      </c>
      <c r="K948" t="s">
        <v>1379</v>
      </c>
      <c r="L948" t="s">
        <v>1382</v>
      </c>
    </row>
    <row r="949" spans="1:12" x14ac:dyDescent="0.25">
      <c r="A949" s="3">
        <v>45295</v>
      </c>
      <c r="B949" t="s">
        <v>403</v>
      </c>
      <c r="C949" t="s">
        <v>1194</v>
      </c>
      <c r="D949" t="s">
        <v>1345</v>
      </c>
      <c r="E949" t="s">
        <v>1349</v>
      </c>
      <c r="F949" t="s">
        <v>1353</v>
      </c>
      <c r="G949" t="s">
        <v>1359</v>
      </c>
      <c r="H949" s="5">
        <v>45</v>
      </c>
      <c r="I949" s="9">
        <v>999</v>
      </c>
      <c r="J949" s="9">
        <f t="shared" si="14"/>
        <v>44955</v>
      </c>
      <c r="K949" t="s">
        <v>1379</v>
      </c>
      <c r="L949" t="s">
        <v>1382</v>
      </c>
    </row>
    <row r="950" spans="1:12" x14ac:dyDescent="0.25">
      <c r="A950" s="3">
        <v>45633</v>
      </c>
      <c r="B950" t="s">
        <v>131</v>
      </c>
      <c r="C950" t="s">
        <v>1109</v>
      </c>
      <c r="D950" t="s">
        <v>1389</v>
      </c>
      <c r="E950" t="s">
        <v>1347</v>
      </c>
      <c r="F950" t="s">
        <v>1354</v>
      </c>
      <c r="G950" t="s">
        <v>1363</v>
      </c>
      <c r="H950" s="5">
        <v>43</v>
      </c>
      <c r="I950" s="9">
        <v>499</v>
      </c>
      <c r="J950" s="9">
        <f t="shared" si="14"/>
        <v>21457</v>
      </c>
      <c r="K950" t="s">
        <v>1379</v>
      </c>
      <c r="L950" t="s">
        <v>1382</v>
      </c>
    </row>
    <row r="951" spans="1:12" x14ac:dyDescent="0.25">
      <c r="A951" s="3">
        <v>45544</v>
      </c>
      <c r="B951" t="s">
        <v>822</v>
      </c>
      <c r="C951" t="s">
        <v>1319</v>
      </c>
      <c r="D951" t="s">
        <v>1344</v>
      </c>
      <c r="E951" t="s">
        <v>1349</v>
      </c>
      <c r="F951" t="s">
        <v>1353</v>
      </c>
      <c r="G951" t="s">
        <v>1369</v>
      </c>
      <c r="H951" s="5">
        <v>19</v>
      </c>
      <c r="I951" s="9">
        <v>499</v>
      </c>
      <c r="J951" s="9">
        <f t="shared" si="14"/>
        <v>9481</v>
      </c>
      <c r="K951" t="s">
        <v>1379</v>
      </c>
      <c r="L951" t="s">
        <v>1381</v>
      </c>
    </row>
    <row r="952" spans="1:12" x14ac:dyDescent="0.25">
      <c r="A952" s="3">
        <v>45533</v>
      </c>
      <c r="B952" t="s">
        <v>258</v>
      </c>
      <c r="C952" t="s">
        <v>1190</v>
      </c>
      <c r="D952" t="s">
        <v>1344</v>
      </c>
      <c r="E952" t="s">
        <v>1349</v>
      </c>
      <c r="F952" t="s">
        <v>1355</v>
      </c>
      <c r="G952" t="s">
        <v>1374</v>
      </c>
      <c r="H952" s="5">
        <v>7</v>
      </c>
      <c r="I952" s="9">
        <v>1999</v>
      </c>
      <c r="J952" s="9">
        <f t="shared" si="14"/>
        <v>13993</v>
      </c>
      <c r="K952" t="s">
        <v>1379</v>
      </c>
      <c r="L952" t="s">
        <v>1382</v>
      </c>
    </row>
    <row r="953" spans="1:12" x14ac:dyDescent="0.25">
      <c r="A953" s="3">
        <v>45471</v>
      </c>
      <c r="B953" t="s">
        <v>817</v>
      </c>
      <c r="C953" t="s">
        <v>1191</v>
      </c>
      <c r="D953" t="s">
        <v>1344</v>
      </c>
      <c r="E953" t="s">
        <v>1347</v>
      </c>
      <c r="F953" t="s">
        <v>1353</v>
      </c>
      <c r="G953" t="s">
        <v>1359</v>
      </c>
      <c r="H953" s="5">
        <v>41</v>
      </c>
      <c r="I953" s="9">
        <v>199</v>
      </c>
      <c r="J953" s="9">
        <f t="shared" si="14"/>
        <v>8159</v>
      </c>
      <c r="K953" t="s">
        <v>1377</v>
      </c>
      <c r="L953" t="s">
        <v>1380</v>
      </c>
    </row>
    <row r="954" spans="1:12" x14ac:dyDescent="0.25">
      <c r="A954" s="3">
        <v>45386</v>
      </c>
      <c r="B954" t="s">
        <v>807</v>
      </c>
      <c r="C954" t="s">
        <v>1174</v>
      </c>
      <c r="D954" t="s">
        <v>1344</v>
      </c>
      <c r="E954" t="s">
        <v>1349</v>
      </c>
      <c r="F954" t="s">
        <v>1355</v>
      </c>
      <c r="G954" t="s">
        <v>1373</v>
      </c>
      <c r="H954" s="5">
        <v>7</v>
      </c>
      <c r="I954" s="9">
        <v>199</v>
      </c>
      <c r="J954" s="9">
        <f t="shared" si="14"/>
        <v>1393</v>
      </c>
      <c r="K954" t="s">
        <v>1379</v>
      </c>
      <c r="L954" t="s">
        <v>1380</v>
      </c>
    </row>
    <row r="955" spans="1:12" x14ac:dyDescent="0.25">
      <c r="A955" s="3">
        <v>45446</v>
      </c>
      <c r="B955" t="s">
        <v>371</v>
      </c>
      <c r="C955" t="s">
        <v>1230</v>
      </c>
      <c r="D955" t="s">
        <v>1344</v>
      </c>
      <c r="E955" t="s">
        <v>1349</v>
      </c>
      <c r="F955" t="s">
        <v>1354</v>
      </c>
      <c r="G955" t="s">
        <v>1363</v>
      </c>
      <c r="H955" s="5">
        <v>1</v>
      </c>
      <c r="I955" s="9">
        <v>1499</v>
      </c>
      <c r="J955" s="9">
        <f t="shared" si="14"/>
        <v>1499</v>
      </c>
      <c r="K955" t="s">
        <v>1378</v>
      </c>
      <c r="L955" t="s">
        <v>1383</v>
      </c>
    </row>
    <row r="956" spans="1:12" x14ac:dyDescent="0.25">
      <c r="A956" s="3">
        <v>45316</v>
      </c>
      <c r="B956" t="s">
        <v>106</v>
      </c>
      <c r="C956" t="s">
        <v>1104</v>
      </c>
      <c r="D956" t="s">
        <v>1345</v>
      </c>
      <c r="E956" t="s">
        <v>1346</v>
      </c>
      <c r="F956" t="s">
        <v>1354</v>
      </c>
      <c r="G956" t="s">
        <v>1366</v>
      </c>
      <c r="H956" s="5">
        <v>47</v>
      </c>
      <c r="I956" s="9">
        <v>199</v>
      </c>
      <c r="J956" s="9">
        <f t="shared" si="14"/>
        <v>9353</v>
      </c>
      <c r="K956" t="s">
        <v>1379</v>
      </c>
      <c r="L956" t="s">
        <v>1384</v>
      </c>
    </row>
    <row r="957" spans="1:12" x14ac:dyDescent="0.25">
      <c r="A957" s="3">
        <v>45508</v>
      </c>
      <c r="B957" t="s">
        <v>425</v>
      </c>
      <c r="C957" t="s">
        <v>1052</v>
      </c>
      <c r="D957" t="s">
        <v>1389</v>
      </c>
      <c r="E957" t="s">
        <v>1347</v>
      </c>
      <c r="F957" t="s">
        <v>1355</v>
      </c>
      <c r="G957" t="s">
        <v>1360</v>
      </c>
      <c r="H957" s="5">
        <v>12</v>
      </c>
      <c r="I957" s="9">
        <v>2999</v>
      </c>
      <c r="J957" s="9">
        <f t="shared" si="14"/>
        <v>35988</v>
      </c>
      <c r="K957" t="s">
        <v>1379</v>
      </c>
      <c r="L957" t="s">
        <v>1384</v>
      </c>
    </row>
    <row r="958" spans="1:12" x14ac:dyDescent="0.25">
      <c r="A958" s="3">
        <v>45305</v>
      </c>
      <c r="B958" t="s">
        <v>385</v>
      </c>
      <c r="C958" t="s">
        <v>1245</v>
      </c>
      <c r="D958" t="s">
        <v>1389</v>
      </c>
      <c r="E958" t="s">
        <v>1349</v>
      </c>
      <c r="F958" t="s">
        <v>1354</v>
      </c>
      <c r="G958" t="s">
        <v>1362</v>
      </c>
      <c r="H958" s="5">
        <v>33</v>
      </c>
      <c r="I958" s="9">
        <v>1499</v>
      </c>
      <c r="J958" s="9">
        <f t="shared" si="14"/>
        <v>49467</v>
      </c>
      <c r="K958" t="s">
        <v>1376</v>
      </c>
      <c r="L958" t="s">
        <v>1384</v>
      </c>
    </row>
    <row r="959" spans="1:12" x14ac:dyDescent="0.25">
      <c r="A959" s="3">
        <v>45610</v>
      </c>
      <c r="B959" t="s">
        <v>185</v>
      </c>
      <c r="C959" t="s">
        <v>1075</v>
      </c>
      <c r="D959" t="s">
        <v>1344</v>
      </c>
      <c r="E959" t="s">
        <v>1349</v>
      </c>
      <c r="F959" t="s">
        <v>1354</v>
      </c>
      <c r="G959" t="s">
        <v>1362</v>
      </c>
      <c r="H959" s="5">
        <v>8</v>
      </c>
      <c r="I959" s="9">
        <v>1499</v>
      </c>
      <c r="J959" s="9">
        <f t="shared" si="14"/>
        <v>11992</v>
      </c>
      <c r="K959" t="s">
        <v>1379</v>
      </c>
      <c r="L959" t="s">
        <v>1382</v>
      </c>
    </row>
    <row r="960" spans="1:12" x14ac:dyDescent="0.25">
      <c r="A960" s="3">
        <v>45435</v>
      </c>
      <c r="B960" t="s">
        <v>775</v>
      </c>
      <c r="C960" t="s">
        <v>1049</v>
      </c>
      <c r="D960" t="s">
        <v>1344</v>
      </c>
      <c r="E960" t="s">
        <v>1349</v>
      </c>
      <c r="F960" t="s">
        <v>1355</v>
      </c>
      <c r="G960" t="s">
        <v>1372</v>
      </c>
      <c r="H960" s="5">
        <v>5</v>
      </c>
      <c r="I960" s="9">
        <v>999</v>
      </c>
      <c r="J960" s="9">
        <f t="shared" si="14"/>
        <v>4995</v>
      </c>
      <c r="K960" t="s">
        <v>1377</v>
      </c>
      <c r="L960" t="s">
        <v>1382</v>
      </c>
    </row>
    <row r="961" spans="1:12" x14ac:dyDescent="0.25">
      <c r="A961" s="3">
        <v>45469</v>
      </c>
      <c r="B961" t="s">
        <v>430</v>
      </c>
      <c r="C961" t="s">
        <v>1185</v>
      </c>
      <c r="D961" t="s">
        <v>1344</v>
      </c>
      <c r="E961" t="s">
        <v>1348</v>
      </c>
      <c r="F961" t="s">
        <v>1352</v>
      </c>
      <c r="G961" t="s">
        <v>1375</v>
      </c>
      <c r="H961" s="5">
        <v>14</v>
      </c>
      <c r="I961" s="9">
        <v>1624</v>
      </c>
      <c r="J961" s="9">
        <f t="shared" si="14"/>
        <v>22736</v>
      </c>
      <c r="K961" t="s">
        <v>1377</v>
      </c>
      <c r="L961" t="s">
        <v>1382</v>
      </c>
    </row>
    <row r="962" spans="1:12" x14ac:dyDescent="0.25">
      <c r="A962" s="3">
        <v>45443</v>
      </c>
      <c r="B962" t="s">
        <v>620</v>
      </c>
      <c r="C962" t="s">
        <v>1043</v>
      </c>
      <c r="D962" t="s">
        <v>1389</v>
      </c>
      <c r="E962" t="s">
        <v>1346</v>
      </c>
      <c r="F962" t="s">
        <v>1353</v>
      </c>
      <c r="G962" t="s">
        <v>1359</v>
      </c>
      <c r="H962" s="5">
        <v>46</v>
      </c>
      <c r="I962" s="9">
        <v>499</v>
      </c>
      <c r="J962" s="9">
        <f t="shared" ref="J962:J1013" si="15">H962*I962</f>
        <v>22954</v>
      </c>
      <c r="K962" t="s">
        <v>1377</v>
      </c>
      <c r="L962" t="s">
        <v>1380</v>
      </c>
    </row>
    <row r="963" spans="1:12" x14ac:dyDescent="0.25">
      <c r="A963" s="3">
        <v>45344</v>
      </c>
      <c r="B963" t="s">
        <v>167</v>
      </c>
      <c r="C963" t="s">
        <v>1128</v>
      </c>
      <c r="D963" t="s">
        <v>1345</v>
      </c>
      <c r="E963" t="s">
        <v>1347</v>
      </c>
      <c r="F963" t="s">
        <v>1351</v>
      </c>
      <c r="G963" t="s">
        <v>1371</v>
      </c>
      <c r="H963" s="5">
        <v>42</v>
      </c>
      <c r="I963" s="9">
        <v>1878</v>
      </c>
      <c r="J963" s="9">
        <f t="shared" si="15"/>
        <v>78876</v>
      </c>
      <c r="K963" t="s">
        <v>1379</v>
      </c>
      <c r="L963" t="s">
        <v>1383</v>
      </c>
    </row>
    <row r="964" spans="1:12" x14ac:dyDescent="0.25">
      <c r="A964" s="3">
        <v>45388</v>
      </c>
      <c r="B964" t="s">
        <v>456</v>
      </c>
      <c r="C964" t="s">
        <v>1271</v>
      </c>
      <c r="D964" t="s">
        <v>1345</v>
      </c>
      <c r="E964" t="s">
        <v>1348</v>
      </c>
      <c r="F964" t="s">
        <v>1352</v>
      </c>
      <c r="G964" t="s">
        <v>1375</v>
      </c>
      <c r="H964" s="5">
        <v>24</v>
      </c>
      <c r="I964" s="9">
        <v>999</v>
      </c>
      <c r="J964" s="9">
        <f t="shared" si="15"/>
        <v>23976</v>
      </c>
      <c r="K964" t="s">
        <v>1379</v>
      </c>
      <c r="L964" t="s">
        <v>1380</v>
      </c>
    </row>
    <row r="965" spans="1:12" x14ac:dyDescent="0.25">
      <c r="A965" s="3">
        <v>45334</v>
      </c>
      <c r="B965" t="s">
        <v>782</v>
      </c>
      <c r="C965" t="s">
        <v>1043</v>
      </c>
      <c r="D965" t="s">
        <v>1345</v>
      </c>
      <c r="E965" t="s">
        <v>1349</v>
      </c>
      <c r="F965" t="s">
        <v>1354</v>
      </c>
      <c r="G965" t="s">
        <v>1361</v>
      </c>
      <c r="H965" s="5">
        <v>31</v>
      </c>
      <c r="I965" s="9">
        <v>999</v>
      </c>
      <c r="J965" s="9">
        <f t="shared" si="15"/>
        <v>30969</v>
      </c>
      <c r="K965" t="s">
        <v>1376</v>
      </c>
      <c r="L965" t="s">
        <v>1380</v>
      </c>
    </row>
    <row r="966" spans="1:12" x14ac:dyDescent="0.25">
      <c r="A966" s="3">
        <v>45413</v>
      </c>
      <c r="B966" t="s">
        <v>751</v>
      </c>
      <c r="C966" t="s">
        <v>1295</v>
      </c>
      <c r="D966" t="s">
        <v>1345</v>
      </c>
      <c r="E966" t="s">
        <v>1349</v>
      </c>
      <c r="F966" t="s">
        <v>1354</v>
      </c>
      <c r="G966" t="s">
        <v>1362</v>
      </c>
      <c r="H966" s="5">
        <v>32</v>
      </c>
      <c r="I966" s="9">
        <v>2499</v>
      </c>
      <c r="J966" s="9">
        <f t="shared" si="15"/>
        <v>79968</v>
      </c>
      <c r="K966" t="s">
        <v>1377</v>
      </c>
      <c r="L966" t="s">
        <v>1382</v>
      </c>
    </row>
    <row r="967" spans="1:12" x14ac:dyDescent="0.25">
      <c r="A967" s="3">
        <v>45608</v>
      </c>
      <c r="B967" t="s">
        <v>393</v>
      </c>
      <c r="C967" t="s">
        <v>1223</v>
      </c>
      <c r="D967" t="s">
        <v>1345</v>
      </c>
      <c r="E967" t="s">
        <v>1348</v>
      </c>
      <c r="F967" t="s">
        <v>1351</v>
      </c>
      <c r="G967" t="s">
        <v>1356</v>
      </c>
      <c r="H967" s="5">
        <v>7</v>
      </c>
      <c r="I967" s="9">
        <v>1999</v>
      </c>
      <c r="J967" s="9">
        <f t="shared" si="15"/>
        <v>13993</v>
      </c>
      <c r="K967" t="s">
        <v>1377</v>
      </c>
      <c r="L967" t="s">
        <v>1380</v>
      </c>
    </row>
    <row r="968" spans="1:12" x14ac:dyDescent="0.25">
      <c r="A968" s="3">
        <v>45655</v>
      </c>
      <c r="B968" t="s">
        <v>476</v>
      </c>
      <c r="C968" t="s">
        <v>1204</v>
      </c>
      <c r="D968" t="s">
        <v>1389</v>
      </c>
      <c r="E968" t="s">
        <v>1349</v>
      </c>
      <c r="F968" t="s">
        <v>1355</v>
      </c>
      <c r="G968" t="s">
        <v>1373</v>
      </c>
      <c r="H968" s="5">
        <v>9</v>
      </c>
      <c r="I968" s="9">
        <v>999</v>
      </c>
      <c r="J968" s="9">
        <f t="shared" si="15"/>
        <v>8991</v>
      </c>
      <c r="K968" t="s">
        <v>1377</v>
      </c>
      <c r="L968" t="s">
        <v>1380</v>
      </c>
    </row>
    <row r="969" spans="1:12" x14ac:dyDescent="0.25">
      <c r="A969" s="3">
        <v>45575</v>
      </c>
      <c r="B969" t="s">
        <v>594</v>
      </c>
      <c r="C969" t="s">
        <v>1079</v>
      </c>
      <c r="D969" t="s">
        <v>1344</v>
      </c>
      <c r="E969" t="s">
        <v>1347</v>
      </c>
      <c r="F969" t="s">
        <v>1352</v>
      </c>
      <c r="G969" t="s">
        <v>1358</v>
      </c>
      <c r="H969" s="5">
        <v>27</v>
      </c>
      <c r="I969" s="9">
        <v>1624</v>
      </c>
      <c r="J969" s="9">
        <f t="shared" si="15"/>
        <v>43848</v>
      </c>
      <c r="K969" t="s">
        <v>1379</v>
      </c>
      <c r="L969" t="s">
        <v>1380</v>
      </c>
    </row>
    <row r="970" spans="1:12" x14ac:dyDescent="0.25">
      <c r="A970" s="3">
        <v>45585</v>
      </c>
      <c r="B970" t="s">
        <v>693</v>
      </c>
      <c r="C970" t="s">
        <v>1138</v>
      </c>
      <c r="D970" t="s">
        <v>1344</v>
      </c>
      <c r="E970" t="s">
        <v>1349</v>
      </c>
      <c r="F970" t="s">
        <v>1354</v>
      </c>
      <c r="G970" t="s">
        <v>1366</v>
      </c>
      <c r="H970" s="5">
        <v>1</v>
      </c>
      <c r="I970" s="9">
        <v>1499</v>
      </c>
      <c r="J970" s="9">
        <f t="shared" si="15"/>
        <v>1499</v>
      </c>
      <c r="K970" t="s">
        <v>1378</v>
      </c>
      <c r="L970" t="s">
        <v>1380</v>
      </c>
    </row>
    <row r="971" spans="1:12" x14ac:dyDescent="0.25">
      <c r="A971" s="3">
        <v>45386</v>
      </c>
      <c r="B971" t="s">
        <v>269</v>
      </c>
      <c r="C971" t="s">
        <v>1131</v>
      </c>
      <c r="D971" t="s">
        <v>1344</v>
      </c>
      <c r="E971" t="s">
        <v>1349</v>
      </c>
      <c r="F971" t="s">
        <v>1351</v>
      </c>
      <c r="G971" t="s">
        <v>1370</v>
      </c>
      <c r="H971" s="5">
        <v>7</v>
      </c>
      <c r="I971" s="9">
        <v>199</v>
      </c>
      <c r="J971" s="9">
        <f t="shared" si="15"/>
        <v>1393</v>
      </c>
      <c r="K971" t="s">
        <v>1379</v>
      </c>
      <c r="L971" t="s">
        <v>1380</v>
      </c>
    </row>
    <row r="972" spans="1:12" x14ac:dyDescent="0.25">
      <c r="A972" s="3">
        <v>45483</v>
      </c>
      <c r="B972" t="s">
        <v>654</v>
      </c>
      <c r="C972" t="s">
        <v>1252</v>
      </c>
      <c r="D972" t="s">
        <v>1344</v>
      </c>
      <c r="E972" t="s">
        <v>1348</v>
      </c>
      <c r="F972" t="s">
        <v>1353</v>
      </c>
      <c r="G972" t="s">
        <v>1367</v>
      </c>
      <c r="H972" s="5">
        <v>39</v>
      </c>
      <c r="I972" s="9">
        <v>3499</v>
      </c>
      <c r="J972" s="9">
        <f t="shared" si="15"/>
        <v>136461</v>
      </c>
      <c r="K972" t="s">
        <v>1378</v>
      </c>
      <c r="L972" t="s">
        <v>1380</v>
      </c>
    </row>
    <row r="973" spans="1:12" x14ac:dyDescent="0.25">
      <c r="A973" s="3">
        <v>45427</v>
      </c>
      <c r="B973" t="s">
        <v>855</v>
      </c>
      <c r="C973" t="s">
        <v>1149</v>
      </c>
      <c r="D973" t="s">
        <v>1389</v>
      </c>
      <c r="E973" t="s">
        <v>1349</v>
      </c>
      <c r="F973" t="s">
        <v>1353</v>
      </c>
      <c r="G973" t="s">
        <v>1365</v>
      </c>
      <c r="H973" s="5">
        <v>5</v>
      </c>
      <c r="I973" s="9">
        <v>2999</v>
      </c>
      <c r="J973" s="9">
        <f t="shared" si="15"/>
        <v>14995</v>
      </c>
      <c r="K973" t="s">
        <v>1377</v>
      </c>
      <c r="L973" t="s">
        <v>1381</v>
      </c>
    </row>
    <row r="974" spans="1:12" x14ac:dyDescent="0.25">
      <c r="A974" s="3">
        <v>45339</v>
      </c>
      <c r="B974" t="s">
        <v>159</v>
      </c>
      <c r="C974" t="s">
        <v>1135</v>
      </c>
      <c r="D974" t="s">
        <v>1344</v>
      </c>
      <c r="E974" t="s">
        <v>1346</v>
      </c>
      <c r="F974" t="s">
        <v>1352</v>
      </c>
      <c r="G974" t="s">
        <v>1364</v>
      </c>
      <c r="H974" s="5">
        <v>35</v>
      </c>
      <c r="I974" s="9">
        <v>1624</v>
      </c>
      <c r="J974" s="9">
        <f t="shared" si="15"/>
        <v>56840</v>
      </c>
      <c r="K974" t="s">
        <v>1379</v>
      </c>
      <c r="L974" t="s">
        <v>1384</v>
      </c>
    </row>
    <row r="975" spans="1:12" x14ac:dyDescent="0.25">
      <c r="A975" s="3">
        <v>45328</v>
      </c>
      <c r="B975" t="s">
        <v>298</v>
      </c>
      <c r="C975" t="s">
        <v>1092</v>
      </c>
      <c r="D975" t="s">
        <v>1345</v>
      </c>
      <c r="E975" t="s">
        <v>1349</v>
      </c>
      <c r="F975" t="s">
        <v>1354</v>
      </c>
      <c r="G975" t="s">
        <v>1363</v>
      </c>
      <c r="H975" s="5">
        <v>14</v>
      </c>
      <c r="I975" s="9">
        <v>199</v>
      </c>
      <c r="J975" s="9">
        <f t="shared" si="15"/>
        <v>2786</v>
      </c>
      <c r="K975" t="s">
        <v>1379</v>
      </c>
      <c r="L975" t="s">
        <v>1382</v>
      </c>
    </row>
    <row r="976" spans="1:12" x14ac:dyDescent="0.25">
      <c r="A976" s="3">
        <v>45647</v>
      </c>
      <c r="B976" t="s">
        <v>138</v>
      </c>
      <c r="C976" t="s">
        <v>1122</v>
      </c>
      <c r="D976" t="s">
        <v>1389</v>
      </c>
      <c r="E976" t="s">
        <v>1348</v>
      </c>
      <c r="F976" t="s">
        <v>1352</v>
      </c>
      <c r="G976" t="s">
        <v>1364</v>
      </c>
      <c r="H976" s="5">
        <v>1</v>
      </c>
      <c r="I976" s="9">
        <v>1499</v>
      </c>
      <c r="J976" s="9">
        <f t="shared" si="15"/>
        <v>1499</v>
      </c>
      <c r="K976" t="s">
        <v>1376</v>
      </c>
      <c r="L976" t="s">
        <v>1380</v>
      </c>
    </row>
    <row r="977" spans="1:12" x14ac:dyDescent="0.25">
      <c r="A977" s="3">
        <v>45483</v>
      </c>
      <c r="B977" t="s">
        <v>948</v>
      </c>
      <c r="C977" t="s">
        <v>1066</v>
      </c>
      <c r="D977" t="s">
        <v>1389</v>
      </c>
      <c r="E977" t="s">
        <v>1346</v>
      </c>
      <c r="F977" t="s">
        <v>1354</v>
      </c>
      <c r="G977" t="s">
        <v>1362</v>
      </c>
      <c r="H977" s="5">
        <v>33</v>
      </c>
      <c r="I977" s="9">
        <v>2499</v>
      </c>
      <c r="J977" s="9">
        <f t="shared" si="15"/>
        <v>82467</v>
      </c>
      <c r="K977" t="s">
        <v>1376</v>
      </c>
      <c r="L977" t="s">
        <v>1384</v>
      </c>
    </row>
    <row r="978" spans="1:12" x14ac:dyDescent="0.25">
      <c r="A978" s="3">
        <v>45397</v>
      </c>
      <c r="B978" t="s">
        <v>636</v>
      </c>
      <c r="C978" t="s">
        <v>1296</v>
      </c>
      <c r="D978" t="s">
        <v>1389</v>
      </c>
      <c r="E978" t="s">
        <v>1348</v>
      </c>
      <c r="F978" t="s">
        <v>1353</v>
      </c>
      <c r="G978" t="s">
        <v>1367</v>
      </c>
      <c r="H978" s="5">
        <v>37</v>
      </c>
      <c r="I978" s="9">
        <v>1499</v>
      </c>
      <c r="J978" s="9">
        <f t="shared" si="15"/>
        <v>55463</v>
      </c>
      <c r="K978" t="s">
        <v>1379</v>
      </c>
      <c r="L978" t="s">
        <v>1384</v>
      </c>
    </row>
    <row r="979" spans="1:12" x14ac:dyDescent="0.25">
      <c r="A979" s="3">
        <v>45375</v>
      </c>
      <c r="B979" t="s">
        <v>255</v>
      </c>
      <c r="C979" t="s">
        <v>1176</v>
      </c>
      <c r="D979" t="s">
        <v>1345</v>
      </c>
      <c r="E979" t="s">
        <v>1347</v>
      </c>
      <c r="F979" t="s">
        <v>1351</v>
      </c>
      <c r="G979" t="s">
        <v>1370</v>
      </c>
      <c r="H979" s="5">
        <v>2</v>
      </c>
      <c r="I979" s="9">
        <v>1999</v>
      </c>
      <c r="J979" s="9">
        <f t="shared" si="15"/>
        <v>3998</v>
      </c>
      <c r="K979" t="s">
        <v>1379</v>
      </c>
      <c r="L979" t="s">
        <v>1382</v>
      </c>
    </row>
    <row r="980" spans="1:12" x14ac:dyDescent="0.25">
      <c r="A980" s="3">
        <v>45530</v>
      </c>
      <c r="B980" t="s">
        <v>153</v>
      </c>
      <c r="C980" t="s">
        <v>1132</v>
      </c>
      <c r="D980" t="s">
        <v>1389</v>
      </c>
      <c r="E980" t="s">
        <v>1348</v>
      </c>
      <c r="F980" t="s">
        <v>1355</v>
      </c>
      <c r="G980" t="s">
        <v>1360</v>
      </c>
      <c r="H980" s="5">
        <v>4</v>
      </c>
      <c r="I980" s="9">
        <v>1499</v>
      </c>
      <c r="J980" s="9">
        <f t="shared" si="15"/>
        <v>5996</v>
      </c>
      <c r="K980" t="s">
        <v>1379</v>
      </c>
      <c r="L980" t="s">
        <v>1380</v>
      </c>
    </row>
    <row r="981" spans="1:12" x14ac:dyDescent="0.25">
      <c r="A981" s="3">
        <v>45419</v>
      </c>
      <c r="B981" t="s">
        <v>579</v>
      </c>
      <c r="C981" t="s">
        <v>1299</v>
      </c>
      <c r="D981" t="s">
        <v>1345</v>
      </c>
      <c r="E981" t="s">
        <v>1350</v>
      </c>
      <c r="F981" t="s">
        <v>1353</v>
      </c>
      <c r="G981" t="s">
        <v>1359</v>
      </c>
      <c r="H981" s="5">
        <v>0</v>
      </c>
      <c r="I981" s="9">
        <v>199</v>
      </c>
      <c r="J981" s="9">
        <f t="shared" si="15"/>
        <v>0</v>
      </c>
      <c r="K981" t="s">
        <v>1376</v>
      </c>
      <c r="L981" t="s">
        <v>1382</v>
      </c>
    </row>
    <row r="982" spans="1:12" x14ac:dyDescent="0.25">
      <c r="A982" s="3">
        <v>45394</v>
      </c>
      <c r="B982" t="s">
        <v>867</v>
      </c>
      <c r="C982" t="s">
        <v>1113</v>
      </c>
      <c r="D982" t="s">
        <v>1345</v>
      </c>
      <c r="E982" t="s">
        <v>1348</v>
      </c>
      <c r="F982" t="s">
        <v>1353</v>
      </c>
      <c r="G982" t="s">
        <v>1359</v>
      </c>
      <c r="H982" s="5">
        <v>16</v>
      </c>
      <c r="I982" s="9">
        <v>499</v>
      </c>
      <c r="J982" s="9">
        <f t="shared" si="15"/>
        <v>7984</v>
      </c>
      <c r="K982" t="s">
        <v>1379</v>
      </c>
      <c r="L982" t="s">
        <v>1381</v>
      </c>
    </row>
    <row r="983" spans="1:12" x14ac:dyDescent="0.25">
      <c r="A983" s="3">
        <v>45324</v>
      </c>
      <c r="B983" t="s">
        <v>648</v>
      </c>
      <c r="C983" t="s">
        <v>1271</v>
      </c>
      <c r="D983" t="s">
        <v>1344</v>
      </c>
      <c r="E983" t="s">
        <v>1348</v>
      </c>
      <c r="F983" t="s">
        <v>1354</v>
      </c>
      <c r="G983" t="s">
        <v>1361</v>
      </c>
      <c r="H983" s="5">
        <v>30</v>
      </c>
      <c r="I983" s="9">
        <v>2999</v>
      </c>
      <c r="J983" s="9">
        <f t="shared" si="15"/>
        <v>89970</v>
      </c>
      <c r="K983" t="s">
        <v>1379</v>
      </c>
      <c r="L983" t="s">
        <v>1380</v>
      </c>
    </row>
    <row r="984" spans="1:12" x14ac:dyDescent="0.25">
      <c r="A984" s="3">
        <v>45301</v>
      </c>
      <c r="B984" t="s">
        <v>213</v>
      </c>
      <c r="C984" t="s">
        <v>1168</v>
      </c>
      <c r="D984" t="s">
        <v>1345</v>
      </c>
      <c r="E984" t="s">
        <v>1349</v>
      </c>
      <c r="F984" t="s">
        <v>1354</v>
      </c>
      <c r="G984" t="s">
        <v>1366</v>
      </c>
      <c r="H984" s="5">
        <v>2</v>
      </c>
      <c r="I984" s="9">
        <v>1999</v>
      </c>
      <c r="J984" s="9">
        <f t="shared" si="15"/>
        <v>3998</v>
      </c>
      <c r="K984" t="s">
        <v>1378</v>
      </c>
      <c r="L984" t="s">
        <v>1384</v>
      </c>
    </row>
    <row r="985" spans="1:12" x14ac:dyDescent="0.25">
      <c r="A985" s="3">
        <v>45414</v>
      </c>
      <c r="B985" t="s">
        <v>966</v>
      </c>
      <c r="C985" t="s">
        <v>1274</v>
      </c>
      <c r="D985" t="s">
        <v>1345</v>
      </c>
      <c r="E985" t="s">
        <v>1349</v>
      </c>
      <c r="F985" t="s">
        <v>1354</v>
      </c>
      <c r="G985" t="s">
        <v>1363</v>
      </c>
      <c r="H985" s="5">
        <v>5</v>
      </c>
      <c r="I985" s="9">
        <v>199</v>
      </c>
      <c r="J985" s="9">
        <f t="shared" si="15"/>
        <v>995</v>
      </c>
      <c r="K985" t="s">
        <v>1379</v>
      </c>
      <c r="L985" t="s">
        <v>1382</v>
      </c>
    </row>
    <row r="986" spans="1:12" x14ac:dyDescent="0.25">
      <c r="A986" s="3">
        <v>45325</v>
      </c>
      <c r="B986" t="s">
        <v>990</v>
      </c>
      <c r="C986" t="s">
        <v>1135</v>
      </c>
      <c r="D986" t="s">
        <v>1389</v>
      </c>
      <c r="E986" t="s">
        <v>1350</v>
      </c>
      <c r="F986" t="s">
        <v>1352</v>
      </c>
      <c r="G986" t="s">
        <v>1364</v>
      </c>
      <c r="H986" s="5">
        <v>25</v>
      </c>
      <c r="I986" s="9">
        <v>199</v>
      </c>
      <c r="J986" s="9">
        <f t="shared" si="15"/>
        <v>4975</v>
      </c>
      <c r="K986" t="s">
        <v>1378</v>
      </c>
      <c r="L986" t="s">
        <v>1382</v>
      </c>
    </row>
    <row r="987" spans="1:12" x14ac:dyDescent="0.25">
      <c r="A987" s="3">
        <v>45622</v>
      </c>
      <c r="B987" t="s">
        <v>286</v>
      </c>
      <c r="C987" t="s">
        <v>1046</v>
      </c>
      <c r="D987" t="s">
        <v>1345</v>
      </c>
      <c r="E987" t="s">
        <v>1347</v>
      </c>
      <c r="F987" t="s">
        <v>1353</v>
      </c>
      <c r="G987" t="s">
        <v>1367</v>
      </c>
      <c r="H987" s="5">
        <v>18</v>
      </c>
      <c r="I987" s="9">
        <v>2499</v>
      </c>
      <c r="J987" s="9">
        <f t="shared" si="15"/>
        <v>44982</v>
      </c>
      <c r="K987" t="s">
        <v>1379</v>
      </c>
      <c r="L987" t="s">
        <v>1384</v>
      </c>
    </row>
    <row r="988" spans="1:12" x14ac:dyDescent="0.25">
      <c r="A988" s="3">
        <v>45386</v>
      </c>
      <c r="B988" t="s">
        <v>595</v>
      </c>
      <c r="C988" t="s">
        <v>1250</v>
      </c>
      <c r="D988" t="s">
        <v>1389</v>
      </c>
      <c r="E988" t="s">
        <v>1347</v>
      </c>
      <c r="F988" t="s">
        <v>1351</v>
      </c>
      <c r="G988" t="s">
        <v>1370</v>
      </c>
      <c r="H988" s="5">
        <v>25</v>
      </c>
      <c r="I988" s="9">
        <v>1999</v>
      </c>
      <c r="J988" s="9">
        <f t="shared" si="15"/>
        <v>49975</v>
      </c>
      <c r="K988" t="s">
        <v>1379</v>
      </c>
      <c r="L988" t="s">
        <v>1383</v>
      </c>
    </row>
    <row r="989" spans="1:12" x14ac:dyDescent="0.25">
      <c r="A989" s="3">
        <v>45632</v>
      </c>
      <c r="B989" t="s">
        <v>512</v>
      </c>
      <c r="C989" t="s">
        <v>1164</v>
      </c>
      <c r="D989" t="s">
        <v>1345</v>
      </c>
      <c r="E989" t="s">
        <v>1350</v>
      </c>
      <c r="F989" t="s">
        <v>1353</v>
      </c>
      <c r="G989" t="s">
        <v>1369</v>
      </c>
      <c r="H989" s="5">
        <v>9</v>
      </c>
      <c r="I989" s="9">
        <v>2999</v>
      </c>
      <c r="J989" s="9">
        <f t="shared" si="15"/>
        <v>26991</v>
      </c>
      <c r="K989" t="s">
        <v>1379</v>
      </c>
      <c r="L989" t="s">
        <v>1382</v>
      </c>
    </row>
    <row r="990" spans="1:12" x14ac:dyDescent="0.25">
      <c r="A990" s="3">
        <v>45326</v>
      </c>
      <c r="B990" t="s">
        <v>394</v>
      </c>
      <c r="C990" t="s">
        <v>1064</v>
      </c>
      <c r="D990" t="s">
        <v>1344</v>
      </c>
      <c r="E990" t="s">
        <v>1347</v>
      </c>
      <c r="F990" t="s">
        <v>1353</v>
      </c>
      <c r="G990" t="s">
        <v>1359</v>
      </c>
      <c r="H990" s="5">
        <v>22</v>
      </c>
      <c r="I990" s="9">
        <v>999</v>
      </c>
      <c r="J990" s="9">
        <f t="shared" si="15"/>
        <v>21978</v>
      </c>
      <c r="K990" t="s">
        <v>1379</v>
      </c>
      <c r="L990" t="s">
        <v>1384</v>
      </c>
    </row>
    <row r="991" spans="1:12" x14ac:dyDescent="0.25">
      <c r="A991" s="3">
        <v>45622</v>
      </c>
      <c r="B991" t="s">
        <v>830</v>
      </c>
      <c r="C991" t="s">
        <v>1225</v>
      </c>
      <c r="D991" t="s">
        <v>1389</v>
      </c>
      <c r="E991" t="s">
        <v>1347</v>
      </c>
      <c r="F991" t="s">
        <v>1355</v>
      </c>
      <c r="G991" t="s">
        <v>1374</v>
      </c>
      <c r="H991" s="5">
        <v>43</v>
      </c>
      <c r="I991" s="9">
        <v>2999</v>
      </c>
      <c r="J991" s="9">
        <f t="shared" si="15"/>
        <v>128957</v>
      </c>
      <c r="K991" t="s">
        <v>1379</v>
      </c>
      <c r="L991" t="s">
        <v>1383</v>
      </c>
    </row>
    <row r="992" spans="1:12" x14ac:dyDescent="0.25">
      <c r="A992" s="3">
        <v>45364</v>
      </c>
      <c r="B992" t="s">
        <v>99</v>
      </c>
      <c r="C992" t="s">
        <v>1099</v>
      </c>
      <c r="D992" t="s">
        <v>1344</v>
      </c>
      <c r="E992" t="s">
        <v>1346</v>
      </c>
      <c r="F992" t="s">
        <v>1352</v>
      </c>
      <c r="G992" t="s">
        <v>1364</v>
      </c>
      <c r="H992" s="5">
        <v>40</v>
      </c>
      <c r="I992" s="9">
        <v>499</v>
      </c>
      <c r="J992" s="9">
        <f t="shared" si="15"/>
        <v>19960</v>
      </c>
      <c r="K992" t="s">
        <v>1379</v>
      </c>
      <c r="L992" t="s">
        <v>1380</v>
      </c>
    </row>
    <row r="993" spans="1:12" x14ac:dyDescent="0.25">
      <c r="A993" s="3">
        <v>45513</v>
      </c>
      <c r="B993" t="s">
        <v>190</v>
      </c>
      <c r="C993" t="s">
        <v>1153</v>
      </c>
      <c r="D993" t="s">
        <v>1344</v>
      </c>
      <c r="E993" t="s">
        <v>1346</v>
      </c>
      <c r="F993" t="s">
        <v>1354</v>
      </c>
      <c r="G993" t="s">
        <v>1366</v>
      </c>
      <c r="H993" s="5">
        <v>10</v>
      </c>
      <c r="I993" s="9">
        <v>3499</v>
      </c>
      <c r="J993" s="9">
        <f t="shared" si="15"/>
        <v>34990</v>
      </c>
      <c r="K993" t="s">
        <v>1376</v>
      </c>
      <c r="L993" t="s">
        <v>1384</v>
      </c>
    </row>
    <row r="994" spans="1:12" x14ac:dyDescent="0.25">
      <c r="A994" s="3">
        <v>45585</v>
      </c>
      <c r="B994" t="s">
        <v>739</v>
      </c>
      <c r="C994" t="s">
        <v>1057</v>
      </c>
      <c r="D994" t="s">
        <v>1344</v>
      </c>
      <c r="E994" t="s">
        <v>1347</v>
      </c>
      <c r="F994" t="s">
        <v>1352</v>
      </c>
      <c r="G994" t="s">
        <v>1364</v>
      </c>
      <c r="H994" s="5">
        <v>3</v>
      </c>
      <c r="I994" s="9">
        <v>2499</v>
      </c>
      <c r="J994" s="9">
        <f t="shared" si="15"/>
        <v>7497</v>
      </c>
      <c r="K994" t="s">
        <v>1379</v>
      </c>
      <c r="L994" t="s">
        <v>1382</v>
      </c>
    </row>
    <row r="995" spans="1:12" x14ac:dyDescent="0.25">
      <c r="A995" s="3">
        <v>45511</v>
      </c>
      <c r="B995" t="s">
        <v>487</v>
      </c>
      <c r="C995" t="s">
        <v>1207</v>
      </c>
      <c r="D995" t="s">
        <v>1345</v>
      </c>
      <c r="E995" t="s">
        <v>1347</v>
      </c>
      <c r="F995" t="s">
        <v>1355</v>
      </c>
      <c r="G995" t="s">
        <v>1373</v>
      </c>
      <c r="H995" s="5">
        <v>22</v>
      </c>
      <c r="I995" s="9">
        <v>499</v>
      </c>
      <c r="J995" s="9">
        <f t="shared" si="15"/>
        <v>10978</v>
      </c>
      <c r="K995" t="s">
        <v>1379</v>
      </c>
      <c r="L995" t="s">
        <v>1382</v>
      </c>
    </row>
    <row r="996" spans="1:12" x14ac:dyDescent="0.25">
      <c r="A996" s="3">
        <v>45335</v>
      </c>
      <c r="B996" t="s">
        <v>994</v>
      </c>
      <c r="C996" t="s">
        <v>1124</v>
      </c>
      <c r="D996" t="s">
        <v>1345</v>
      </c>
      <c r="E996" t="s">
        <v>1347</v>
      </c>
      <c r="F996" t="s">
        <v>1353</v>
      </c>
      <c r="G996" t="s">
        <v>1365</v>
      </c>
      <c r="H996" s="5">
        <v>1</v>
      </c>
      <c r="I996" s="9">
        <v>1499</v>
      </c>
      <c r="J996" s="9">
        <f t="shared" si="15"/>
        <v>1499</v>
      </c>
      <c r="K996" t="s">
        <v>1379</v>
      </c>
      <c r="L996" t="s">
        <v>1384</v>
      </c>
    </row>
    <row r="997" spans="1:12" x14ac:dyDescent="0.25">
      <c r="A997" s="3">
        <v>45531</v>
      </c>
      <c r="B997" t="s">
        <v>224</v>
      </c>
      <c r="C997" t="s">
        <v>1175</v>
      </c>
      <c r="D997" t="s">
        <v>1389</v>
      </c>
      <c r="E997" t="s">
        <v>1350</v>
      </c>
      <c r="F997" t="s">
        <v>1355</v>
      </c>
      <c r="G997" t="s">
        <v>1372</v>
      </c>
      <c r="H997" s="5">
        <v>24</v>
      </c>
      <c r="I997" s="9">
        <v>1999</v>
      </c>
      <c r="J997" s="9">
        <f t="shared" si="15"/>
        <v>47976</v>
      </c>
      <c r="K997" t="s">
        <v>1379</v>
      </c>
      <c r="L997" t="s">
        <v>1380</v>
      </c>
    </row>
    <row r="998" spans="1:12" x14ac:dyDescent="0.25">
      <c r="A998" s="3">
        <v>45428</v>
      </c>
      <c r="B998" t="s">
        <v>871</v>
      </c>
      <c r="C998" t="s">
        <v>1039</v>
      </c>
      <c r="D998" t="s">
        <v>1344</v>
      </c>
      <c r="E998" t="s">
        <v>1349</v>
      </c>
      <c r="F998" t="s">
        <v>1354</v>
      </c>
      <c r="G998" t="s">
        <v>1363</v>
      </c>
      <c r="H998" s="5">
        <v>22</v>
      </c>
      <c r="I998" s="9">
        <v>499</v>
      </c>
      <c r="J998" s="9">
        <f t="shared" si="15"/>
        <v>10978</v>
      </c>
      <c r="K998" t="s">
        <v>1379</v>
      </c>
      <c r="L998" t="s">
        <v>1384</v>
      </c>
    </row>
    <row r="999" spans="1:12" x14ac:dyDescent="0.25">
      <c r="A999" s="3">
        <v>45311</v>
      </c>
      <c r="B999" t="s">
        <v>248</v>
      </c>
      <c r="C999" t="s">
        <v>1184</v>
      </c>
      <c r="D999" t="s">
        <v>1344</v>
      </c>
      <c r="E999" t="s">
        <v>1347</v>
      </c>
      <c r="F999" t="s">
        <v>1354</v>
      </c>
      <c r="G999" t="s">
        <v>1362</v>
      </c>
      <c r="H999" s="5">
        <v>15</v>
      </c>
      <c r="I999" s="9">
        <v>1499</v>
      </c>
      <c r="J999" s="9">
        <f t="shared" si="15"/>
        <v>22485</v>
      </c>
      <c r="K999" t="s">
        <v>1377</v>
      </c>
      <c r="L999" t="s">
        <v>1380</v>
      </c>
    </row>
    <row r="1000" spans="1:12" x14ac:dyDescent="0.25">
      <c r="A1000" s="3">
        <v>45595</v>
      </c>
      <c r="B1000" t="s">
        <v>777</v>
      </c>
      <c r="C1000" t="s">
        <v>1045</v>
      </c>
      <c r="D1000" t="s">
        <v>1344</v>
      </c>
      <c r="E1000" t="s">
        <v>1347</v>
      </c>
      <c r="F1000" t="s">
        <v>1352</v>
      </c>
      <c r="G1000" t="s">
        <v>1364</v>
      </c>
      <c r="H1000" s="5">
        <v>0</v>
      </c>
      <c r="I1000" s="9">
        <v>1499</v>
      </c>
      <c r="J1000" s="9">
        <f t="shared" si="15"/>
        <v>0</v>
      </c>
      <c r="K1000" t="s">
        <v>1379</v>
      </c>
      <c r="L1000" t="s">
        <v>1383</v>
      </c>
    </row>
    <row r="1001" spans="1:12" x14ac:dyDescent="0.25">
      <c r="A1001" s="3">
        <v>45471</v>
      </c>
      <c r="B1001" t="s">
        <v>499</v>
      </c>
      <c r="C1001" t="s">
        <v>1086</v>
      </c>
      <c r="D1001" t="s">
        <v>1345</v>
      </c>
      <c r="E1001" t="s">
        <v>1347</v>
      </c>
      <c r="F1001" t="s">
        <v>1351</v>
      </c>
      <c r="G1001" t="s">
        <v>1371</v>
      </c>
      <c r="H1001" s="5">
        <v>20</v>
      </c>
      <c r="I1001" s="9">
        <v>1999</v>
      </c>
      <c r="J1001" s="9">
        <f t="shared" si="15"/>
        <v>39980</v>
      </c>
      <c r="K1001" t="s">
        <v>1379</v>
      </c>
      <c r="L1001" t="s">
        <v>1380</v>
      </c>
    </row>
    <row r="1002" spans="1:12" x14ac:dyDescent="0.25">
      <c r="A1002" s="3">
        <v>45543</v>
      </c>
      <c r="B1002" t="s">
        <v>296</v>
      </c>
      <c r="C1002" t="s">
        <v>1145</v>
      </c>
      <c r="D1002" t="s">
        <v>1344</v>
      </c>
      <c r="E1002" t="s">
        <v>1347</v>
      </c>
      <c r="F1002" t="s">
        <v>1354</v>
      </c>
      <c r="G1002" t="s">
        <v>1366</v>
      </c>
      <c r="H1002" s="5">
        <v>3</v>
      </c>
      <c r="I1002" s="9">
        <v>1749</v>
      </c>
      <c r="J1002" s="9">
        <f t="shared" si="15"/>
        <v>5247</v>
      </c>
      <c r="K1002" t="s">
        <v>1377</v>
      </c>
      <c r="L1002" t="s">
        <v>1383</v>
      </c>
    </row>
    <row r="1003" spans="1:12" x14ac:dyDescent="0.25">
      <c r="A1003" s="3">
        <v>45403</v>
      </c>
      <c r="B1003" t="s">
        <v>834</v>
      </c>
      <c r="C1003" t="s">
        <v>1186</v>
      </c>
      <c r="D1003" t="s">
        <v>1344</v>
      </c>
      <c r="E1003" t="s">
        <v>1349</v>
      </c>
      <c r="F1003" t="s">
        <v>1352</v>
      </c>
      <c r="G1003" t="s">
        <v>1358</v>
      </c>
      <c r="H1003" s="5">
        <v>44</v>
      </c>
      <c r="I1003" s="9">
        <v>2499</v>
      </c>
      <c r="J1003" s="9">
        <f t="shared" si="15"/>
        <v>109956</v>
      </c>
      <c r="K1003" t="s">
        <v>1379</v>
      </c>
      <c r="L1003" t="s">
        <v>1383</v>
      </c>
    </row>
    <row r="1004" spans="1:12" x14ac:dyDescent="0.25">
      <c r="A1004" s="3">
        <v>45526</v>
      </c>
      <c r="B1004" t="s">
        <v>1009</v>
      </c>
      <c r="C1004" t="s">
        <v>1223</v>
      </c>
      <c r="D1004" t="s">
        <v>1344</v>
      </c>
      <c r="E1004" t="s">
        <v>1348</v>
      </c>
      <c r="F1004" t="s">
        <v>1353</v>
      </c>
      <c r="G1004" t="s">
        <v>1367</v>
      </c>
      <c r="H1004" s="5">
        <v>15</v>
      </c>
      <c r="I1004" s="9">
        <v>3499</v>
      </c>
      <c r="J1004" s="9">
        <f t="shared" si="15"/>
        <v>52485</v>
      </c>
      <c r="K1004" t="s">
        <v>1379</v>
      </c>
      <c r="L1004" t="s">
        <v>1382</v>
      </c>
    </row>
    <row r="1005" spans="1:12" x14ac:dyDescent="0.25">
      <c r="A1005" s="3">
        <v>45314</v>
      </c>
      <c r="B1005" t="s">
        <v>723</v>
      </c>
      <c r="C1005" t="s">
        <v>1250</v>
      </c>
      <c r="D1005" t="s">
        <v>1345</v>
      </c>
      <c r="E1005" t="s">
        <v>1349</v>
      </c>
      <c r="F1005" t="s">
        <v>1355</v>
      </c>
      <c r="G1005" t="s">
        <v>1360</v>
      </c>
      <c r="H1005" s="5">
        <v>18</v>
      </c>
      <c r="I1005" s="9">
        <v>2999</v>
      </c>
      <c r="J1005" s="9">
        <f t="shared" si="15"/>
        <v>53982</v>
      </c>
      <c r="K1005" t="s">
        <v>1379</v>
      </c>
      <c r="L1005" t="s">
        <v>1380</v>
      </c>
    </row>
    <row r="1006" spans="1:12" x14ac:dyDescent="0.25">
      <c r="A1006" s="3">
        <v>45520</v>
      </c>
      <c r="B1006" t="s">
        <v>30</v>
      </c>
      <c r="C1006" t="s">
        <v>1040</v>
      </c>
      <c r="D1006" t="s">
        <v>1344</v>
      </c>
      <c r="E1006" t="s">
        <v>1349</v>
      </c>
      <c r="F1006" t="s">
        <v>1351</v>
      </c>
      <c r="G1006" t="s">
        <v>1370</v>
      </c>
      <c r="H1006" s="5">
        <v>22</v>
      </c>
      <c r="I1006" s="9">
        <v>199</v>
      </c>
      <c r="J1006" s="9">
        <f t="shared" si="15"/>
        <v>4378</v>
      </c>
      <c r="K1006" t="s">
        <v>1379</v>
      </c>
      <c r="L1006" t="s">
        <v>1380</v>
      </c>
    </row>
    <row r="1007" spans="1:12" x14ac:dyDescent="0.25">
      <c r="A1007" s="3">
        <v>45304</v>
      </c>
      <c r="B1007" t="s">
        <v>19</v>
      </c>
      <c r="C1007" t="s">
        <v>1031</v>
      </c>
      <c r="D1007" t="s">
        <v>1345</v>
      </c>
      <c r="E1007" t="s">
        <v>1347</v>
      </c>
      <c r="F1007" t="s">
        <v>1354</v>
      </c>
      <c r="G1007" t="s">
        <v>1361</v>
      </c>
      <c r="H1007" s="5">
        <v>33</v>
      </c>
      <c r="I1007" s="9">
        <v>999</v>
      </c>
      <c r="J1007" s="9">
        <f t="shared" si="15"/>
        <v>32967</v>
      </c>
      <c r="K1007" t="s">
        <v>1377</v>
      </c>
      <c r="L1007" t="s">
        <v>1380</v>
      </c>
    </row>
    <row r="1008" spans="1:12" x14ac:dyDescent="0.25">
      <c r="A1008" s="3">
        <v>45543</v>
      </c>
      <c r="B1008" t="s">
        <v>329</v>
      </c>
      <c r="C1008" t="s">
        <v>1218</v>
      </c>
      <c r="D1008" t="s">
        <v>1389</v>
      </c>
      <c r="E1008" t="s">
        <v>1349</v>
      </c>
      <c r="F1008" t="s">
        <v>1352</v>
      </c>
      <c r="G1008" t="s">
        <v>1358</v>
      </c>
      <c r="H1008" s="5">
        <v>19</v>
      </c>
      <c r="I1008" s="9">
        <v>1999</v>
      </c>
      <c r="J1008" s="9">
        <f t="shared" si="15"/>
        <v>37981</v>
      </c>
      <c r="K1008" t="s">
        <v>1379</v>
      </c>
      <c r="L1008" t="s">
        <v>1384</v>
      </c>
    </row>
    <row r="1009" spans="1:12" x14ac:dyDescent="0.25">
      <c r="A1009" s="3">
        <v>45639</v>
      </c>
      <c r="B1009" t="s">
        <v>513</v>
      </c>
      <c r="C1009" t="s">
        <v>1281</v>
      </c>
      <c r="D1009" t="s">
        <v>1345</v>
      </c>
      <c r="E1009" t="s">
        <v>1347</v>
      </c>
      <c r="F1009" t="s">
        <v>1351</v>
      </c>
      <c r="G1009" t="s">
        <v>1370</v>
      </c>
      <c r="H1009" s="5">
        <v>4</v>
      </c>
      <c r="I1009" s="9">
        <v>2999</v>
      </c>
      <c r="J1009" s="9">
        <f t="shared" si="15"/>
        <v>11996</v>
      </c>
      <c r="K1009" t="s">
        <v>1379</v>
      </c>
      <c r="L1009" t="s">
        <v>1384</v>
      </c>
    </row>
    <row r="1010" spans="1:12" x14ac:dyDescent="0.25">
      <c r="A1010" s="3">
        <v>45497</v>
      </c>
      <c r="B1010" t="s">
        <v>906</v>
      </c>
      <c r="C1010" t="s">
        <v>1261</v>
      </c>
      <c r="D1010" t="s">
        <v>1389</v>
      </c>
      <c r="E1010" t="s">
        <v>1349</v>
      </c>
      <c r="F1010" t="s">
        <v>1354</v>
      </c>
      <c r="G1010" t="s">
        <v>1361</v>
      </c>
      <c r="H1010" s="5">
        <v>35</v>
      </c>
      <c r="I1010" s="9">
        <v>3499</v>
      </c>
      <c r="J1010" s="9">
        <f t="shared" si="15"/>
        <v>122465</v>
      </c>
      <c r="K1010" t="s">
        <v>1376</v>
      </c>
      <c r="L1010" t="s">
        <v>1382</v>
      </c>
    </row>
    <row r="1011" spans="1:12" x14ac:dyDescent="0.25">
      <c r="A1011" s="3">
        <v>45456</v>
      </c>
      <c r="B1011" t="s">
        <v>468</v>
      </c>
      <c r="C1011" t="s">
        <v>1274</v>
      </c>
      <c r="D1011" t="s">
        <v>1345</v>
      </c>
      <c r="E1011" t="s">
        <v>1347</v>
      </c>
      <c r="F1011" t="s">
        <v>1355</v>
      </c>
      <c r="G1011" t="s">
        <v>1373</v>
      </c>
      <c r="H1011" s="5">
        <v>41</v>
      </c>
      <c r="I1011" s="9">
        <v>2499</v>
      </c>
      <c r="J1011" s="9">
        <f t="shared" si="15"/>
        <v>102459</v>
      </c>
      <c r="K1011" t="s">
        <v>1379</v>
      </c>
      <c r="L1011" t="s">
        <v>1384</v>
      </c>
    </row>
    <row r="1012" spans="1:12" x14ac:dyDescent="0.25">
      <c r="A1012" s="3">
        <v>45622</v>
      </c>
      <c r="B1012" t="s">
        <v>415</v>
      </c>
      <c r="C1012" t="s">
        <v>1257</v>
      </c>
      <c r="D1012" t="s">
        <v>1344</v>
      </c>
      <c r="E1012" t="s">
        <v>1349</v>
      </c>
      <c r="F1012" t="s">
        <v>1355</v>
      </c>
      <c r="G1012" t="s">
        <v>1374</v>
      </c>
      <c r="H1012" s="5">
        <v>30</v>
      </c>
      <c r="I1012" s="9">
        <v>2999</v>
      </c>
      <c r="J1012" s="9">
        <f t="shared" si="15"/>
        <v>89970</v>
      </c>
      <c r="K1012" t="s">
        <v>1379</v>
      </c>
      <c r="L1012" t="s">
        <v>1380</v>
      </c>
    </row>
    <row r="1013" spans="1:12" x14ac:dyDescent="0.25">
      <c r="A1013" s="3">
        <v>45459</v>
      </c>
      <c r="B1013" t="s">
        <v>788</v>
      </c>
      <c r="C1013" t="s">
        <v>1176</v>
      </c>
      <c r="D1013" t="s">
        <v>1389</v>
      </c>
      <c r="E1013" t="s">
        <v>1349</v>
      </c>
      <c r="F1013" t="s">
        <v>1351</v>
      </c>
      <c r="G1013" t="s">
        <v>1357</v>
      </c>
      <c r="H1013" s="5">
        <v>1</v>
      </c>
      <c r="I1013" s="9">
        <v>3499</v>
      </c>
      <c r="J1013" s="9">
        <f t="shared" si="15"/>
        <v>3499</v>
      </c>
      <c r="K1013" t="s">
        <v>1379</v>
      </c>
      <c r="L1013" t="s">
        <v>1383</v>
      </c>
    </row>
  </sheetData>
  <conditionalFormatting sqref="B2:B1013">
    <cfRule type="duplicateValues" dxfId="8" priority="2"/>
  </conditionalFormatting>
  <conditionalFormatting sqref="E1:E1048576">
    <cfRule type="top10" dxfId="7" priority="1" rank="10"/>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Clean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Kunal Kapoor</cp:lastModifiedBy>
  <dcterms:created xsi:type="dcterms:W3CDTF">2025-10-17T13:54:24Z</dcterms:created>
  <dcterms:modified xsi:type="dcterms:W3CDTF">2026-03-21T11:07:00Z</dcterms:modified>
</cp:coreProperties>
</file>